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02bd13418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比较" sheetId="1" r:id="Rcab12db2189c439e"/>
    <x:sheet xmlns:r="http://schemas.openxmlformats.org/officeDocument/2006/relationships" name="补充指标" sheetId="2" r:id="R90cef76af653437c"/>
    <x:sheet xmlns:r="http://schemas.openxmlformats.org/officeDocument/2006/relationships" name="数据源" sheetId="3" r:id="R122aaa2c2f0f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;[Red](0.00%);0.00%"/>
    <x:numFmt numFmtId="201" formatCode="0.00"/>
    <x:numFmt numFmtId="202" formatCode="#,##0;[Red](#,##0);0"/>
  </x:numFmts>
  <x:fonts count="5">
    <x:font>
      <x:sz val="11"/>
      <x:name val="Carlito"/>
    </x:font>
    <x:font>
      <x:sz val="10"/>
      <x:color rgb="FF24364B"/>
      <x:name val="Microsoft YaHei"/>
    </x:font>
    <x:font>
      <x:b/>
      <x:sz val="19"/>
      <x:color rgb="FF123B5D"/>
      <x:name val="Microsoft YaHei"/>
    </x:font>
    <x:font>
      <x:sz val="10"/>
      <x:color rgb="FF546477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0F5F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1cf523af54da4" /><Relationship Type="http://schemas.openxmlformats.org/officeDocument/2006/relationships/theme" Target="/xl/theme/theme1.xml" Id="R35df0c5b8c394c18" /><Relationship Type="http://schemas.openxmlformats.org/officeDocument/2006/relationships/sharedStrings" Target="/xl/sharedStrings.xml" Id="Rbf1c1caf548b4545" /><Relationship Type="http://schemas.openxmlformats.org/officeDocument/2006/relationships/worksheet" Target="/xl/worksheets/sheet1.xml" Id="Rcab12db2189c439e" /><Relationship Type="http://schemas.openxmlformats.org/officeDocument/2006/relationships/worksheet" Target="/xl/worksheets/sheet2.xml" Id="R90cef76af653437c" /><Relationship Type="http://schemas.openxmlformats.org/officeDocument/2006/relationships/worksheet" Target="/xl/worksheets/sheet3.xml" Id="R122aaa2c2f0f40e4" /></Relationships>
</file>

<file path=xl/tables/table1.xml><?xml version="1.0" encoding="utf-8"?>
<x:table xmlns:x="http://schemas.openxmlformats.org/spreadsheetml/2006/main" id="1" name="T2" displayName="T2" ref="A6:P26" headerRowCount="1" totalsRowCount="0" totalsRowShown="0">
  <x:autoFilter ref="A6:P26"/>
  <x:tableColumns count="16">
    <x:tableColumn id="1" name="国家"/>
    <x:tableColumn id="2" name="城市"/>
    <x:tableColumn id="3" name="年毛租售比&#10;中心"/>
    <x:tableColumn id="4" name="房价租金比&#10;中心·年"/>
    <x:tableColumn id="5" name="房价收入比&#10;模型·年"/>
    <x:tableColumn id="6" name="估值数据期"/>
    <x:tableColumn id="7" name="住宅空置率"/>
    <x:tableColumn id="8" name="空置率期间与口径"/>
    <x:tableColumn id="9" name="供给统计期"/>
    <x:tableColumn id="10" name="净迁入&#10;人"/>
    <x:tableColumn id="11" name="净迁入统计期"/>
    <x:tableColumn id="12" name="人口同比"/>
    <x:tableColumn id="13" name="人口统计期"/>
    <x:tableColumn id="14" name="按揭利率&#10;参考"/>
    <x:tableColumn id="15" name="利率期间与适用范围"/>
    <x:tableColumn id="16" name="数据质量提示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3" displayName="T3" ref="A6:T26" headerRowCount="1" totalsRowCount="0" totalsRowShown="0">
  <x:autoFilter ref="A6:T26"/>
  <x:tableColumns count="20">
    <x:tableColumn id="1" name="国家"/>
    <x:tableColumn id="2" name="城市"/>
    <x:tableColumn id="3" name="年毛租售比&#10;非中心"/>
    <x:tableColumn id="4" name="房价租金比&#10;非中心·年"/>
    <x:tableColumn id="5" name="租金同比"/>
    <x:tableColumn id="6" name="租金期间与口径"/>
    <x:tableColumn id="7" name="新房价格同比"/>
    <x:tableColumn id="8" name="新房统计期"/>
    <x:tableColumn id="9" name="住宅竣工套数"/>
    <x:tableColumn id="10" name="竣工统计期"/>
    <x:tableColumn id="11" name="人口规模"/>
    <x:tableColumn id="12" name="人口统计期"/>
    <x:tableColumn id="13" name="人口总变动"/>
    <x:tableColumn id="14" name="住宅单价/㎡"/>
    <x:tableColumn id="15" name="币种"/>
    <x:tableColumn id="16" name="单价统计期"/>
    <x:tableColumn id="17" name="住宅成交量同比"/>
    <x:tableColumn id="18" name="成交量期间与口径"/>
    <x:tableColumn id="19" name="住宅竣工面积同比"/>
    <x:tableColumn id="20" name="竣工面积统计期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5" displayName="T5" ref="A6:J44" headerRowCount="1" totalsRowCount="0" totalsRowShown="0">
  <x:autoFilter ref="A6:J44"/>
  <x:tableColumns count="10">
    <x:tableColumn id="1" name="来源ID"/>
    <x:tableColumn id="2" name="来源"/>
    <x:tableColumn id="3" name="等级"/>
    <x:tableColumn id="4" name="地域"/>
    <x:tableColumn id="5" name="数据频率"/>
    <x:tableColumn id="6" name="采集状态"/>
    <x:tableColumn id="7" name="访问方式"/>
    <x:tableColumn id="8" name="最后检查"/>
    <x:tableColumn id="9" name="原始链接"/>
    <x:tableColumn id="10" name="限制/后续工作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357ad4c2d545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b8737e660e4d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fb301d1b7f470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23" hidden="0" customWidth="1"/>
    <x:col min="7" max="7" width="14" hidden="0" customWidth="1"/>
    <x:col min="8" max="8" width="44" hidden="0" customWidth="1"/>
    <x:col min="9" max="9" width="16" hidden="0" customWidth="1"/>
    <x:col min="10" max="10" width="16" hidden="0" customWidth="1"/>
    <x:col min="11" max="11" width="18" hidden="0" customWidth="1"/>
    <x:col min="12" max="12" width="14" hidden="0" customWidth="1"/>
    <x:col min="13" max="13" width="16" hidden="0" customWidth="1"/>
    <x:col min="14" max="14" width="15" hidden="0" customWidth="1"/>
    <x:col min="15" max="15" width="46" hidden="0" customWidth="1"/>
    <x:col min="16" max="16" width="4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6" customHeight="1">
      <x:c r="A2" s="3" t="str">
        <x:v>全球住宅市场 · 城市核心比较</x:v>
      </x:c>
      <x:c r="B2" s="3"/>
      <x:c r="C2" s="3"/>
      <x:c r="D2" s="3"/>
      <x:c r="E2" s="3"/>
      <x:c r="F2" s="3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0" customHeight="1">
      <x:c r="A3" s="5" t="str">
        <x:v>截至 2026-09-28｜20城；估值用Numbeo辅助模型，其他指标优先官方。空白=缺口；空置率口径不同不可直接排名。年毛租售比≈1/房价租金比，未扣成本。</x:v>
      </x:c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</x:row>
    <x:row r="4" ht="20" customHeight="1">
      <x:c r="A4" s="5"/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4" customHeight="1">
      <x:c r="A6" s="8" t="str">
        <x:v>国家</x:v>
      </x:c>
      <x:c r="B6" s="8" t="str">
        <x:v>城市</x:v>
      </x:c>
      <x:c r="C6" s="8" t="str">
        <x:v>年毛租售比
中心</x:v>
      </x:c>
      <x:c r="D6" s="8" t="str">
        <x:v>房价租金比
中心·年</x:v>
      </x:c>
      <x:c r="E6" s="8" t="str">
        <x:v>房价收入比
模型·年</x:v>
      </x:c>
      <x:c r="F6" s="8" t="str">
        <x:v>估值数据期</x:v>
      </x:c>
      <x:c r="G6" s="8" t="str">
        <x:v>住宅空置率</x:v>
      </x:c>
      <x:c r="H6" s="8" t="str">
        <x:v>空置率期间与口径</x:v>
      </x:c>
      <x:c r="I6" s="8" t="str">
        <x:v>供给统计期</x:v>
      </x:c>
      <x:c r="J6" s="8" t="str">
        <x:v>净迁入
人</x:v>
      </x:c>
      <x:c r="K6" s="8" t="str">
        <x:v>净迁入统计期</x:v>
      </x:c>
      <x:c r="L6" s="8" t="str">
        <x:v>人口同比</x:v>
      </x:c>
      <x:c r="M6" s="8" t="str">
        <x:v>人口统计期</x:v>
      </x:c>
      <x:c r="N6" s="8" t="str">
        <x:v>按揭利率
参考</x:v>
      </x:c>
      <x:c r="O6" s="8" t="str">
        <x:v>利率期间与适用范围</x:v>
      </x:c>
      <x:c r="P6" s="8" t="str">
        <x:v>数据质量提示</x:v>
      </x:c>
    </x:row>
    <x:row r="7" ht="58" customHeight="1">
      <x:c r="A7" s="11" t="str">
        <x:v>德国</x:v>
      </x:c>
      <x:c r="B7" s="11" t="str">
        <x:v>柏林</x:v>
      </x:c>
      <x:c r="C7" s="12" t="n">
        <x:f>1/D7</x:f>
        <x:v>0.037037037037037035</x:v>
      </x:c>
      <x:c r="D7" s="14" t="n">
        <x:v>27</x:v>
      </x:c>
      <x:c r="E7" s="14" t="n">
        <x:v>11.1</x:v>
      </x:c>
      <x:c r="F7" s="11" t="str">
        <x:v>2026年中版</x:v>
      </x:c>
      <x:c r="G7" s="12"/>
      <x:c r="H7" s="11" t="str">
        <x:v>未取得</x:v>
      </x:c>
      <x:c r="I7" s="11" t="str">
        <x:v>2025</x:v>
      </x:c>
      <x:c r="J7" s="16" t="n">
        <x:v>19698</x:v>
      </x:c>
      <x:c r="K7" s="11" t="str">
        <x:v>2025</x:v>
      </x:c>
      <x:c r="L7" s="12" t="n">
        <x:v>0.004</x:v>
      </x:c>
      <x:c r="M7" s="11" t="str">
        <x:v>2025</x:v>
      </x:c>
      <x:c r="N7" s="12" t="n">
        <x:v>0.0354</x:v>
      </x:c>
      <x:c r="O7" s="11" t="str">
        <x:v>2026-07｜欧元区（区域代理）｜新增住房贷款复合融资成本，不是本国/城市报价</x:v>
      </x:c>
      <x:c r="P7" s="11" t="str">
        <x:v>估值为C级模型；含索引待复核值</x:v>
      </x:c>
    </x:row>
    <x:row r="8" ht="58" customHeight="1">
      <x:c r="A8" s="10" t="str">
        <x:v>德国</x:v>
      </x:c>
      <x:c r="B8" s="10" t="str">
        <x:v>慕尼黑</x:v>
      </x:c>
      <x:c r="C8" s="13" t="n">
        <x:f>1/D8</x:f>
        <x:v>0.02881844380403458</x:v>
      </x:c>
      <x:c r="D8" s="15" t="n">
        <x:v>34.7</x:v>
      </x:c>
      <x:c r="E8" s="15" t="n">
        <x:v>13.1</x:v>
      </x:c>
      <x:c r="F8" s="10" t="str">
        <x:v>2026年中版</x:v>
      </x:c>
      <x:c r="G8" s="13" t="n">
        <x:v>0.001</x:v>
      </x:c>
      <x:c r="H8" s="10" t="str">
        <x:v>2024-12-31｜慕尼黑市｜市场活跃多户住宅空置；非全住房</x:v>
      </x:c>
      <x:c r="I8" s="10" t="str"/>
      <x:c r="J8" s="17" t="n">
        <x:v>4825</x:v>
      </x:c>
      <x:c r="K8" s="10" t="str">
        <x:v>2025</x:v>
      </x:c>
      <x:c r="L8" s="13" t="n">
        <x:v>0.0053953918751745876</x:v>
      </x:c>
      <x:c r="M8" s="10" t="str">
        <x:v>2025</x:v>
      </x:c>
      <x:c r="N8" s="13" t="n">
        <x:v>0.0354</x:v>
      </x:c>
      <x:c r="O8" s="10" t="str">
        <x:v>2026-07｜欧元区（区域代理）｜新增住房贷款复合融资成本，不是本国/城市报价</x:v>
      </x:c>
      <x:c r="P8" s="10" t="str">
        <x:v>估值为C级模型</x:v>
      </x:c>
    </x:row>
    <x:row r="9" ht="58" customHeight="1">
      <x:c r="A9" s="11" t="str">
        <x:v>德国</x:v>
      </x:c>
      <x:c r="B9" s="11" t="str">
        <x:v>法兰克福</x:v>
      </x:c>
      <x:c r="C9" s="12" t="n">
        <x:f>1/D9</x:f>
        <x:v>0.03717472118959108</x:v>
      </x:c>
      <x:c r="D9" s="14" t="n">
        <x:v>26.9</x:v>
      </x:c>
      <x:c r="E9" s="14" t="n">
        <x:v>7.7</x:v>
      </x:c>
      <x:c r="F9" s="11" t="str">
        <x:v>2026年中版</x:v>
      </x:c>
      <x:c r="G9" s="12" t="n">
        <x:v>0.001</x:v>
      </x:c>
      <x:c r="H9" s="11" t="str">
        <x:v>2024-12-31｜法兰克福市｜市场活跃多户住宅空置；非全住房</x:v>
      </x:c>
      <x:c r="I9" s="11" t="str"/>
      <x:c r="J9" s="16"/>
      <x:c r="K9" s="11" t="str"/>
      <x:c r="L9" s="12"/>
      <x:c r="M9" s="11" t="str"/>
      <x:c r="N9" s="12" t="n">
        <x:v>0.0354</x:v>
      </x:c>
      <x:c r="O9" s="11" t="str">
        <x:v>2026-07｜欧元区（区域代理）｜新增住房贷款复合融资成本，不是本国/城市报价</x:v>
      </x:c>
      <x:c r="P9" s="11" t="str">
        <x:v>估值为C级模型</x:v>
      </x:c>
    </x:row>
    <x:row r="10" ht="58" customHeight="1">
      <x:c r="A10" s="10" t="str">
        <x:v>德国</x:v>
      </x:c>
      <x:c r="B10" s="10" t="str">
        <x:v>杜塞尔多夫</x:v>
      </x:c>
      <x:c r="C10" s="13" t="n">
        <x:f>1/D10</x:f>
        <x:v>0.02824858757062147</x:v>
      </x:c>
      <x:c r="D10" s="15" t="n">
        <x:v>35.4</x:v>
      </x:c>
      <x:c r="E10" s="15" t="n">
        <x:v>9.7</x:v>
      </x:c>
      <x:c r="F10" s="10" t="str">
        <x:v>2026年中版</x:v>
      </x:c>
      <x:c r="G10" s="13"/>
      <x:c r="H10" s="10" t="str">
        <x:v>未取得</x:v>
      </x:c>
      <x:c r="I10" s="10" t="str"/>
      <x:c r="J10" s="17" t="n">
        <x:v>2156</x:v>
      </x:c>
      <x:c r="K10" s="10" t="str">
        <x:v>2025</x:v>
      </x:c>
      <x:c r="L10" s="13" t="n">
        <x:v>0.0016209769918495392</x:v>
      </x:c>
      <x:c r="M10" s="10" t="str">
        <x:v>2025</x:v>
      </x:c>
      <x:c r="N10" s="13" t="n">
        <x:v>0.0354</x:v>
      </x:c>
      <x:c r="O10" s="10" t="str">
        <x:v>2026-07｜欧元区（区域代理）｜新增住房贷款复合融资成本，不是本国/城市报价</x:v>
      </x:c>
      <x:c r="P10" s="10" t="str">
        <x:v>估值为C级模型</x:v>
      </x:c>
    </x:row>
    <x:row r="11" ht="58" customHeight="1">
      <x:c r="A11" s="11" t="str">
        <x:v>美国</x:v>
      </x:c>
      <x:c r="B11" s="11" t="str">
        <x:v>纽约</x:v>
      </x:c>
      <x:c r="C11" s="12" t="n">
        <x:f>1/D11</x:f>
        <x:v>0.056179775280898875</x:v>
      </x:c>
      <x:c r="D11" s="14" t="n">
        <x:v>17.8</x:v>
      </x:c>
      <x:c r="E11" s="14" t="n">
        <x:v>10.9</x:v>
      </x:c>
      <x:c r="F11" s="11" t="str">
        <x:v>2026年中版</x:v>
      </x:c>
      <x:c r="G11" s="12" t="n">
        <x:v>0.0141</x:v>
      </x:c>
      <x:c r="H11" s="11" t="str">
        <x:v>2023｜纽约市五区｜HVS净租赁可用空置率，不是总体空置</x:v>
      </x:c>
      <x:c r="I11" s="11" t="str"/>
      <x:c r="J11" s="16"/>
      <x:c r="K11" s="11" t="str"/>
      <x:c r="L11" s="12"/>
      <x:c r="M11" s="11" t="str"/>
      <x:c r="N11" s="12" t="n">
        <x:v>0.0703</x:v>
      </x:c>
      <x:c r="O11" s="11" t="str">
        <x:v>2026-09-24｜美国全国（国家代理）｜PMMS30年固定平均，不是个人报价</x:v>
      </x:c>
      <x:c r="P11" s="11" t="str">
        <x:v>估值为C级模型</x:v>
      </x:c>
    </x:row>
    <x:row r="12" ht="58" customHeight="1">
      <x:c r="A12" s="10" t="str">
        <x:v>美国</x:v>
      </x:c>
      <x:c r="B12" s="10" t="str">
        <x:v>洛杉矶</x:v>
      </x:c>
      <x:c r="C12" s="13" t="n">
        <x:f>1/D12</x:f>
        <x:v>0.07518796992481203</x:v>
      </x:c>
      <x:c r="D12" s="15" t="n">
        <x:v>13.3</x:v>
      </x:c>
      <x:c r="E12" s="15" t="n">
        <x:v>8.2</x:v>
      </x:c>
      <x:c r="F12" s="10" t="str">
        <x:v>2026年中版</x:v>
      </x:c>
      <x:c r="G12" s="13" t="n">
        <x:v>0.06705806234569028</x:v>
      </x:c>
      <x:c r="H12" s="10" t="str">
        <x:v>2024｜洛杉矶市｜总体空置；ACS1抽样估计，非租赁可用空置率</x:v>
      </x:c>
      <x:c r="I12" s="10" t="str"/>
      <x:c r="J12" s="17"/>
      <x:c r="K12" s="10" t="str"/>
      <x:c r="L12" s="13"/>
      <x:c r="M12" s="10" t="str"/>
      <x:c r="N12" s="13" t="n">
        <x:v>0.0703</x:v>
      </x:c>
      <x:c r="O12" s="10" t="str">
        <x:v>2026-09-24｜美国全国（国家代理）｜PMMS30年固定平均，不是个人报价</x:v>
      </x:c>
      <x:c r="P12" s="10" t="str">
        <x:v>估值为C级模型</x:v>
      </x:c>
    </x:row>
    <x:row r="13" ht="58" customHeight="1">
      <x:c r="A13" s="11" t="str">
        <x:v>日本</x:v>
      </x:c>
      <x:c r="B13" s="11" t="str">
        <x:v>东京</x:v>
      </x:c>
      <x:c r="C13" s="12" t="n">
        <x:f>1/D13</x:f>
        <x:v>0.026178010471204185</x:v>
      </x:c>
      <x:c r="D13" s="14" t="n">
        <x:v>38.2</x:v>
      </x:c>
      <x:c r="E13" s="14" t="n">
        <x:v>16</x:v>
      </x:c>
      <x:c r="F13" s="11" t="str">
        <x:v>2026年中版</x:v>
      </x:c>
      <x:c r="G13" s="12" t="n">
        <x:v>0.109</x:v>
      </x:c>
      <x:c r="H13" s="11" t="str">
        <x:v>2023-10-01｜东京都全域｜总体空置；包含不同用途空屋</x:v>
      </x:c>
      <x:c r="I13" s="11" t="str"/>
      <x:c r="J13" s="16"/>
      <x:c r="K13" s="11" t="str"/>
      <x:c r="L13" s="12"/>
      <x:c r="M13" s="11" t="str"/>
      <x:c r="N13" s="12"/>
      <x:c r="O13" s="11" t="str">
        <x:v>未取得</x:v>
      </x:c>
      <x:c r="P13" s="11" t="str">
        <x:v>估值为C级模型；空置为东京都全域</x:v>
      </x:c>
    </x:row>
    <x:row r="14" ht="58" customHeight="1">
      <x:c r="A14" s="10" t="str">
        <x:v>日本</x:v>
      </x:c>
      <x:c r="B14" s="10" t="str">
        <x:v>大阪</x:v>
      </x:c>
      <x:c r="C14" s="13" t="n">
        <x:f>1/D14</x:f>
        <x:v>0.03097893432465923</x:v>
      </x:c>
      <x:c r="D14" s="15" t="n">
        <x:v>32.28</x:v>
      </x:c>
      <x:c r="E14" s="15" t="n">
        <x:v>10.4</x:v>
      </x:c>
      <x:c r="F14" s="10" t="str">
        <x:v>2026-05-27快照</x:v>
      </x:c>
      <x:c r="G14" s="13" t="n">
        <x:v>0.161</x:v>
      </x:c>
      <x:c r="H14" s="10" t="str">
        <x:v>2023｜大阪市｜总体空置；不是大阪府</x:v>
      </x:c>
      <x:c r="I14" s="10" t="str"/>
      <x:c r="J14" s="17"/>
      <x:c r="K14" s="10" t="str"/>
      <x:c r="L14" s="13"/>
      <x:c r="M14" s="10" t="str"/>
      <x:c r="N14" s="13"/>
      <x:c r="O14" s="10" t="str">
        <x:v>未取得</x:v>
      </x:c>
      <x:c r="P14" s="10" t="str">
        <x:v>估值为C级模型；含索引待复核值；估值2026-05-27快照；留意样本量</x:v>
      </x:c>
    </x:row>
    <x:row r="15" ht="58" customHeight="1">
      <x:c r="A15" s="11" t="str">
        <x:v>中国</x:v>
      </x:c>
      <x:c r="B15" s="11" t="str">
        <x:v>北京</x:v>
      </x:c>
      <x:c r="C15" s="12" t="n">
        <x:f>1/D15</x:f>
        <x:v>0.02004008016032064</x:v>
      </x:c>
      <x:c r="D15" s="14" t="n">
        <x:v>49.9</x:v>
      </x:c>
      <x:c r="E15" s="14" t="n">
        <x:v>29.7</x:v>
      </x:c>
      <x:c r="F15" s="11" t="str">
        <x:v>2026年中版</x:v>
      </x:c>
      <x:c r="G15" s="12"/>
      <x:c r="H15" s="11" t="str">
        <x:v>未取得</x:v>
      </x:c>
      <x:c r="I15" s="11" t="str">
        <x:v>2026-01至08累计</x:v>
      </x:c>
      <x:c r="J15" s="16"/>
      <x:c r="K15" s="11" t="str"/>
      <x:c r="L15" s="12" t="n">
        <x:v>-0.0014657383657017222</x:v>
      </x:c>
      <x:c r="M15" s="11" t="str">
        <x:v>2025</x:v>
      </x:c>
      <x:c r="N15" s="12"/>
      <x:c r="O15" s="11" t="str">
        <x:v>未取得</x:v>
      </x:c>
      <x:c r="P15" s="11" t="str">
        <x:v>估值为C级模型；含索引待复核值</x:v>
      </x:c>
    </x:row>
    <x:row r="16" ht="58" customHeight="1">
      <x:c r="A16" s="10" t="str">
        <x:v>中国</x:v>
      </x:c>
      <x:c r="B16" s="10" t="str">
        <x:v>上海</x:v>
      </x:c>
      <x:c r="C16" s="13" t="n">
        <x:f>1/D16</x:f>
        <x:v>0.017152658662092625</x:v>
      </x:c>
      <x:c r="D16" s="15" t="n">
        <x:v>58.3</x:v>
      </x:c>
      <x:c r="E16" s="15" t="n">
        <x:v>31.2</x:v>
      </x:c>
      <x:c r="F16" s="10" t="str">
        <x:v>2026年中版</x:v>
      </x:c>
      <x:c r="G16" s="13"/>
      <x:c r="H16" s="10" t="str">
        <x:v>未取得</x:v>
      </x:c>
      <x:c r="I16" s="10" t="str">
        <x:v>2025</x:v>
      </x:c>
      <x:c r="J16" s="17"/>
      <x:c r="K16" s="10" t="str"/>
      <x:c r="L16" s="13"/>
      <x:c r="M16" s="10" t="str"/>
      <x:c r="N16" s="13"/>
      <x:c r="O16" s="10" t="str">
        <x:v>未取得</x:v>
      </x:c>
      <x:c r="P16" s="10" t="str">
        <x:v>估值为C级模型；含索引待复核值</x:v>
      </x:c>
    </x:row>
    <x:row r="17" ht="58" customHeight="1">
      <x:c r="A17" s="11" t="str">
        <x:v>中国</x:v>
      </x:c>
      <x:c r="B17" s="11" t="str">
        <x:v>杭州</x:v>
      </x:c>
      <x:c r="C17" s="12" t="n">
        <x:f>1/D17</x:f>
        <x:v>0.0176678445229682</x:v>
      </x:c>
      <x:c r="D17" s="14" t="n">
        <x:v>56.6</x:v>
      </x:c>
      <x:c r="E17" s="14" t="n">
        <x:v>19.3</x:v>
      </x:c>
      <x:c r="F17" s="11" t="str">
        <x:v>2026年中版</x:v>
      </x:c>
      <x:c r="G17" s="12"/>
      <x:c r="H17" s="11" t="str">
        <x:v>未取得</x:v>
      </x:c>
      <x:c r="I17" s="11" t="str"/>
      <x:c r="J17" s="16"/>
      <x:c r="K17" s="11" t="str"/>
      <x:c r="L17" s="12"/>
      <x:c r="M17" s="11" t="str"/>
      <x:c r="N17" s="12"/>
      <x:c r="O17" s="11" t="str">
        <x:v>未取得</x:v>
      </x:c>
      <x:c r="P17" s="11" t="str">
        <x:v>估值为C级模型；含索引待复核值</x:v>
      </x:c>
    </x:row>
    <x:row r="18" ht="58" customHeight="1">
      <x:c r="A18" s="10" t="str">
        <x:v>中国</x:v>
      </x:c>
      <x:c r="B18" s="10" t="str">
        <x:v>成都</x:v>
      </x:c>
      <x:c r="C18" s="13" t="n">
        <x:f>1/D18</x:f>
        <x:v>0.02666666666666667</x:v>
      </x:c>
      <x:c r="D18" s="15" t="n">
        <x:v>37.5</x:v>
      </x:c>
      <x:c r="E18" s="15" t="n">
        <x:v>11.8</x:v>
      </x:c>
      <x:c r="F18" s="10" t="str">
        <x:v>2026年中版</x:v>
      </x:c>
      <x:c r="G18" s="13"/>
      <x:c r="H18" s="10" t="str">
        <x:v>未取得</x:v>
      </x:c>
      <x:c r="I18" s="10" t="str"/>
      <x:c r="J18" s="17"/>
      <x:c r="K18" s="10" t="str"/>
      <x:c r="L18" s="13"/>
      <x:c r="M18" s="10" t="str"/>
      <x:c r="N18" s="13"/>
      <x:c r="O18" s="10" t="str">
        <x:v>未取得</x:v>
      </x:c>
      <x:c r="P18" s="10" t="str">
        <x:v>估值为C级模型；含索引待复核值</x:v>
      </x:c>
    </x:row>
    <x:row r="19" ht="58" customHeight="1">
      <x:c r="A19" s="11" t="str">
        <x:v>英国</x:v>
      </x:c>
      <x:c r="B19" s="11" t="str">
        <x:v>伦敦</x:v>
      </x:c>
      <x:c r="C19" s="12" t="n">
        <x:f>1/D19</x:f>
        <x:v>0.03184713375796178</x:v>
      </x:c>
      <x:c r="D19" s="14" t="n">
        <x:v>31.4</x:v>
      </x:c>
      <x:c r="E19" s="14" t="n">
        <x:v>16.7</x:v>
      </x:c>
      <x:c r="F19" s="11" t="str">
        <x:v>2026年中版</x:v>
      </x:c>
      <x:c r="G19" s="12"/>
      <x:c r="H19" s="11" t="str">
        <x:v>未取得</x:v>
      </x:c>
      <x:c r="I19" s="11" t="str"/>
      <x:c r="J19" s="16"/>
      <x:c r="K19" s="11" t="str"/>
      <x:c r="L19" s="12"/>
      <x:c r="M19" s="11" t="str"/>
      <x:c r="N19" s="12"/>
      <x:c r="O19" s="11" t="str">
        <x:v>未取得</x:v>
      </x:c>
      <x:c r="P19" s="11" t="str">
        <x:v>估值为C级模型</x:v>
      </x:c>
    </x:row>
    <x:row r="20" ht="58" customHeight="1">
      <x:c r="A20" s="10" t="str">
        <x:v>法国</x:v>
      </x:c>
      <x:c r="B20" s="10" t="str">
        <x:v>巴黎</x:v>
      </x:c>
      <x:c r="C20" s="13" t="n">
        <x:f>1/D20</x:f>
        <x:v>0.025445292620865142</x:v>
      </x:c>
      <x:c r="D20" s="15" t="n">
        <x:v>39.3</x:v>
      </x:c>
      <x:c r="E20" s="15" t="n">
        <x:v>17</x:v>
      </x:c>
      <x:c r="F20" s="10" t="str">
        <x:v>2026年中版</x:v>
      </x:c>
      <x:c r="G20" s="13" t="n">
        <x:v>0.099</x:v>
      </x:c>
      <x:c r="H20" s="10" t="str">
        <x:v>2023｜巴黎市/75省｜普查总体空置，第二居所另列</x:v>
      </x:c>
      <x:c r="I20" s="10" t="str"/>
      <x:c r="J20" s="17"/>
      <x:c r="K20" s="10" t="str"/>
      <x:c r="L20" s="13"/>
      <x:c r="M20" s="10" t="str"/>
      <x:c r="N20" s="13" t="n">
        <x:v>0.0354</x:v>
      </x:c>
      <x:c r="O20" s="10" t="str">
        <x:v>2026-07｜欧元区（区域代理）｜新增住房贷款复合融资成本，不是本国/城市报价</x:v>
      </x:c>
      <x:c r="P20" s="10" t="str">
        <x:v>估值为C级模型</x:v>
      </x:c>
    </x:row>
    <x:row r="21" ht="58" customHeight="1">
      <x:c r="A21" s="11" t="str">
        <x:v>荷兰</x:v>
      </x:c>
      <x:c r="B21" s="11" t="str">
        <x:v>阿姆斯特丹</x:v>
      </x:c>
      <x:c r="C21" s="12" t="n">
        <x:f>1/D21</x:f>
        <x:v>0.04901960784313726</x:v>
      </x:c>
      <x:c r="D21" s="14" t="n">
        <x:v>20.4</x:v>
      </x:c>
      <x:c r="E21" s="14" t="n">
        <x:v>9.9</x:v>
      </x:c>
      <x:c r="F21" s="11" t="str">
        <x:v>2026年中版</x:v>
      </x:c>
      <x:c r="G21" s="12"/>
      <x:c r="H21" s="11" t="str">
        <x:v>未取得</x:v>
      </x:c>
      <x:c r="I21" s="11" t="str"/>
      <x:c r="J21" s="16"/>
      <x:c r="K21" s="11" t="str"/>
      <x:c r="L21" s="12"/>
      <x:c r="M21" s="11" t="str"/>
      <x:c r="N21" s="12" t="n">
        <x:v>0.0354</x:v>
      </x:c>
      <x:c r="O21" s="11" t="str">
        <x:v>2026-07｜欧元区（区域代理）｜新增住房贷款复合融资成本，不是本国/城市报价</x:v>
      </x:c>
      <x:c r="P21" s="11" t="str">
        <x:v>估值为C级模型；房价来源冲突</x:v>
      </x:c>
    </x:row>
    <x:row r="22" ht="58" customHeight="1">
      <x:c r="A22" s="10" t="str">
        <x:v>西班牙</x:v>
      </x:c>
      <x:c r="B22" s="10" t="str">
        <x:v>马德里</x:v>
      </x:c>
      <x:c r="C22" s="13" t="n">
        <x:f>1/D22</x:f>
        <x:v>0.038461538461538464</x:v>
      </x:c>
      <x:c r="D22" s="15" t="n">
        <x:v>26</x:v>
      </x:c>
      <x:c r="E22" s="15" t="n">
        <x:v>13.2</x:v>
      </x:c>
      <x:c r="F22" s="10" t="str">
        <x:v>2026年中版</x:v>
      </x:c>
      <x:c r="G22" s="13"/>
      <x:c r="H22" s="10" t="str">
        <x:v>未取得</x:v>
      </x:c>
      <x:c r="I22" s="10" t="str"/>
      <x:c r="J22" s="17" t="n">
        <x:v>68160</x:v>
      </x:c>
      <x:c r="K22" s="10" t="str">
        <x:v>2025</x:v>
      </x:c>
      <x:c r="L22" s="13" t="n">
        <x:v>-0.0087</x:v>
      </x:c>
      <x:c r="M22" s="10" t="str">
        <x:v>2025</x:v>
      </x:c>
      <x:c r="N22" s="13" t="n">
        <x:v>0.0354</x:v>
      </x:c>
      <x:c r="O22" s="10" t="str">
        <x:v>2026-07｜欧元区（区域代理）｜新增住房贷款复合融资成本，不是本国/城市报价</x:v>
      </x:c>
      <x:c r="P22" s="10" t="str">
        <x:v>估值为C级模型</x:v>
      </x:c>
    </x:row>
    <x:row r="23" ht="58" customHeight="1">
      <x:c r="A23" s="11" t="str">
        <x:v>西班牙</x:v>
      </x:c>
      <x:c r="B23" s="11" t="str">
        <x:v>巴塞罗那</x:v>
      </x:c>
      <x:c r="C23" s="12" t="n">
        <x:f>1/D23</x:f>
        <x:v>0.04587155963302752</x:v>
      </x:c>
      <x:c r="D23" s="14" t="n">
        <x:v>21.8</x:v>
      </x:c>
      <x:c r="E23" s="14" t="n">
        <x:v>13.8</x:v>
      </x:c>
      <x:c r="F23" s="11" t="str">
        <x:v>2026年中版</x:v>
      </x:c>
      <x:c r="G23" s="12"/>
      <x:c r="H23" s="11" t="str">
        <x:v>未取得</x:v>
      </x:c>
      <x:c r="I23" s="11" t="str"/>
      <x:c r="J23" s="16" t="n">
        <x:v>55057</x:v>
      </x:c>
      <x:c r="K23" s="11" t="str">
        <x:v>2025</x:v>
      </x:c>
      <x:c r="L23" s="12"/>
      <x:c r="M23" s="11" t="str"/>
      <x:c r="N23" s="12" t="n">
        <x:v>0.0354</x:v>
      </x:c>
      <x:c r="O23" s="11" t="str">
        <x:v>2026-07｜欧元区（区域代理）｜新增住房贷款复合融资成本，不是本国/城市报价</x:v>
      </x:c>
      <x:c r="P23" s="11" t="str">
        <x:v>估值为C级模型；含索引待复核值</x:v>
      </x:c>
    </x:row>
    <x:row r="24" ht="58" customHeight="1">
      <x:c r="A24" s="10" t="str">
        <x:v>意大利</x:v>
      </x:c>
      <x:c r="B24" s="10" t="str">
        <x:v>米兰</x:v>
      </x:c>
      <x:c r="C24" s="13" t="n">
        <x:f>1/D24</x:f>
        <x:v>0.03690036900369004</x:v>
      </x:c>
      <x:c r="D24" s="15" t="n">
        <x:v>27.1</x:v>
      </x:c>
      <x:c r="E24" s="15" t="n">
        <x:v>18.2</x:v>
      </x:c>
      <x:c r="F24" s="10" t="str">
        <x:v>2026年中版</x:v>
      </x:c>
      <x:c r="G24" s="13"/>
      <x:c r="H24" s="10" t="str">
        <x:v>未取得</x:v>
      </x:c>
      <x:c r="I24" s="10" t="str"/>
      <x:c r="J24" s="17"/>
      <x:c r="K24" s="10" t="str"/>
      <x:c r="L24" s="13"/>
      <x:c r="M24" s="10" t="str"/>
      <x:c r="N24" s="13" t="n">
        <x:v>0.0354</x:v>
      </x:c>
      <x:c r="O24" s="10" t="str">
        <x:v>2026-07｜欧元区（区域代理）｜新增住房贷款复合融资成本，不是本国/城市报价</x:v>
      </x:c>
      <x:c r="P24" s="10" t="str">
        <x:v>估值为C级模型</x:v>
      </x:c>
    </x:row>
    <x:row r="25" ht="58" customHeight="1">
      <x:c r="A25" s="11" t="str">
        <x:v>奥地利</x:v>
      </x:c>
      <x:c r="B25" s="11" t="str">
        <x:v>维也纳</x:v>
      </x:c>
      <x:c r="C25" s="12" t="n">
        <x:f>1/D25</x:f>
        <x:v>0.019801980198019802</x:v>
      </x:c>
      <x:c r="D25" s="14" t="n">
        <x:v>50.5</x:v>
      </x:c>
      <x:c r="E25" s="14" t="n">
        <x:v>15.8</x:v>
      </x:c>
      <x:c r="F25" s="11" t="str">
        <x:v>2026年中版</x:v>
      </x:c>
      <x:c r="G25" s="12"/>
      <x:c r="H25" s="11" t="str">
        <x:v>未取得</x:v>
      </x:c>
      <x:c r="I25" s="11" t="str"/>
      <x:c r="J25" s="16" t="n">
        <x:v>10173</x:v>
      </x:c>
      <x:c r="K25" s="11" t="str">
        <x:v>2025</x:v>
      </x:c>
      <x:c r="L25" s="12" t="n">
        <x:v>0.006224458151673652</x:v>
      </x:c>
      <x:c r="M25" s="11" t="str">
        <x:v>2025</x:v>
      </x:c>
      <x:c r="N25" s="12" t="n">
        <x:v>0.0354</x:v>
      </x:c>
      <x:c r="O25" s="11" t="str">
        <x:v>2026-07｜欧元区（区域代理）｜新增住房贷款复合融资成本，不是本国/城市报价</x:v>
      </x:c>
      <x:c r="P25" s="11" t="str">
        <x:v>估值为C级模型</x:v>
      </x:c>
    </x:row>
    <x:row r="26" ht="58" customHeight="1">
      <x:c r="A26" s="10" t="str">
        <x:v>瑞士</x:v>
      </x:c>
      <x:c r="B26" s="10" t="str">
        <x:v>苏黎世</x:v>
      </x:c>
      <x:c r="C26" s="13" t="n">
        <x:f>1/D26</x:f>
        <x:v>0.02652519893899204</x:v>
      </x:c>
      <x:c r="D26" s="15" t="n">
        <x:v>37.7</x:v>
      </x:c>
      <x:c r="E26" s="15" t="n">
        <x:v>12.8</x:v>
      </x:c>
      <x:c r="F26" s="10" t="str">
        <x:v>2026年中版</x:v>
      </x:c>
      <x:c r="G26" s="13" t="n">
        <x:v>0.0011</x:v>
      </x:c>
      <x:c r="H26" s="10" t="str">
        <x:v>2026-06-01｜苏黎世市｜可租售空房/总住房，不等于总体无人居住率</x:v>
      </x:c>
      <x:c r="I26" s="10" t="str"/>
      <x:c r="J26" s="17"/>
      <x:c r="K26" s="10" t="str"/>
      <x:c r="L26" s="13"/>
      <x:c r="M26" s="10" t="str"/>
      <x:c r="N26" s="13"/>
      <x:c r="O26" s="10" t="str">
        <x:v>未取得</x:v>
      </x:c>
      <x:c r="P26" s="10" t="str">
        <x:v>估值为C级模型</x:v>
      </x:c>
    </x:row>
  </x:sheetData>
  <x:mergeCells>
    <x:mergeCell ref="A2:F2"/>
    <x:mergeCell ref="A3:H4"/>
  </x:mergeCells>
  <x:pageMargins left="0.7" right="0.7" top="0.75" bottom="0.75" header="0.3" footer="0.3"/>
  <x:tableParts count="1">
    <x:tablePart xmlns:r="http://schemas.openxmlformats.org/officeDocument/2006/relationships" r:id="R62357ad4c2d5457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7" hidden="0" customWidth="1"/>
    <x:col min="4" max="4" width="18" hidden="0" customWidth="1"/>
    <x:col min="5" max="5" width="15" hidden="0" customWidth="1"/>
    <x:col min="6" max="6" width="5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2" hidden="0" customWidth="1"/>
    <x:col min="16" max="16" width="18" hidden="0" customWidth="1"/>
    <x:col min="17" max="17" width="18" hidden="0" customWidth="1"/>
    <x:col min="18" max="18" width="50" hidden="0" customWidth="1"/>
    <x:col min="19" max="19" width="20" hidden="0" customWidth="1"/>
    <x:col min="20" max="20" width="24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6" customHeight="1">
      <x:c r="A2" s="3" t="str">
        <x:v>租赁、供给与人口补充</x:v>
      </x:c>
      <x:c r="B2" s="3"/>
      <x:c r="C2" s="3"/>
      <x:c r="D2" s="3"/>
      <x:c r="E2" s="3"/>
      <x:c r="F2" s="3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0" customHeight="1">
      <x:c r="A3" s="5" t="str">
        <x:v>估值外圈=Numbeo非中心区域；新房与二手房分开。人口总变动不可代替净迁入。价格保留当地币种与原始期间。</x:v>
      </x:c>
      <x:c r="B3" s="5"/>
      <x:c r="C3" s="5"/>
      <x:c r="D3" s="5"/>
      <x:c r="E3" s="5"/>
      <x:c r="F3" s="5"/>
      <x:c r="G3" s="5"/>
      <x:c r="H3" s="5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0" customHeight="1">
      <x:c r="A4" s="5"/>
      <x:c r="B4" s="5"/>
      <x:c r="C4" s="5"/>
      <x:c r="D4" s="5"/>
      <x:c r="E4" s="5"/>
      <x:c r="F4" s="5"/>
      <x:c r="G4" s="5"/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4" customHeight="1">
      <x:c r="A6" s="8" t="str">
        <x:v>国家</x:v>
      </x:c>
      <x:c r="B6" s="8" t="str">
        <x:v>城市</x:v>
      </x:c>
      <x:c r="C6" s="8" t="str">
        <x:v>年毛租售比
非中心</x:v>
      </x:c>
      <x:c r="D6" s="8" t="str">
        <x:v>房价租金比
非中心·年</x:v>
      </x:c>
      <x:c r="E6" s="8" t="str">
        <x:v>租金同比</x:v>
      </x:c>
      <x:c r="F6" s="8" t="str">
        <x:v>租金期间与口径</x:v>
      </x:c>
      <x:c r="G6" s="8" t="str">
        <x:v>新房价格同比</x:v>
      </x:c>
      <x:c r="H6" s="8" t="str">
        <x:v>新房统计期</x:v>
      </x:c>
      <x:c r="I6" s="8" t="str">
        <x:v>住宅竣工套数</x:v>
      </x:c>
      <x:c r="J6" s="8" t="str">
        <x:v>竣工统计期</x:v>
      </x:c>
      <x:c r="K6" s="8" t="str">
        <x:v>人口规模</x:v>
      </x:c>
      <x:c r="L6" s="8" t="str">
        <x:v>人口统计期</x:v>
      </x:c>
      <x:c r="M6" s="8" t="str">
        <x:v>人口总变动</x:v>
      </x:c>
      <x:c r="N6" s="8" t="str">
        <x:v>住宅单价/㎡</x:v>
      </x:c>
      <x:c r="O6" s="8" t="str">
        <x:v>币种</x:v>
      </x:c>
      <x:c r="P6" s="8" t="str">
        <x:v>单价统计期</x:v>
      </x:c>
      <x:c r="Q6" s="8" t="str">
        <x:v>住宅成交量同比</x:v>
      </x:c>
      <x:c r="R6" s="8" t="str">
        <x:v>成交量期间与口径</x:v>
      </x:c>
      <x:c r="S6" s="8" t="str">
        <x:v>住宅竣工面积同比</x:v>
      </x:c>
      <x:c r="T6" s="8" t="str">
        <x:v>竣工面积统计期</x:v>
      </x:c>
    </x:row>
    <x:row r="7" ht="54" customHeight="1">
      <x:c r="A7" s="11" t="str">
        <x:v>德国</x:v>
      </x:c>
      <x:c r="B7" s="11" t="str">
        <x:v>柏林</x:v>
      </x:c>
      <x:c r="C7" s="12" t="n">
        <x:f>1/D7</x:f>
        <x:v>0.04048582995951417</x:v>
      </x:c>
      <x:c r="D7" s="14" t="n">
        <x:v>24.7</x:v>
      </x:c>
      <x:c r="E7" s="12"/>
      <x:c r="F7" s="11" t="str">
        <x:v>未取得</x:v>
      </x:c>
      <x:c r="G7" s="12"/>
      <x:c r="H7" s="11" t="str"/>
      <x:c r="I7" s="16" t="n">
        <x:v>11027</x:v>
      </x:c>
      <x:c r="J7" s="11" t="str">
        <x:v>2025</x:v>
      </x:c>
      <x:c r="K7" s="16" t="n">
        <x:v>3700577</x:v>
      </x:c>
      <x:c r="L7" s="11" t="str">
        <x:v>2025</x:v>
      </x:c>
      <x:c r="M7" s="16" t="n">
        <x:v>15312</x:v>
      </x:c>
      <x:c r="N7" s="16"/>
      <x:c r="O7" s="11" t="str">
        <x:v>EUR</x:v>
      </x:c>
      <x:c r="P7" s="11" t="str"/>
      <x:c r="Q7" s="12"/>
      <x:c r="R7" s="11" t="str">
        <x:v>未取得</x:v>
      </x:c>
      <x:c r="S7" s="12"/>
      <x:c r="T7" s="11" t="str"/>
    </x:row>
    <x:row r="8" ht="54" customHeight="1">
      <x:c r="A8" s="10" t="str">
        <x:v>德国</x:v>
      </x:c>
      <x:c r="B8" s="10" t="str">
        <x:v>慕尼黑</x:v>
      </x:c>
      <x:c r="C8" s="13" t="n">
        <x:f>1/D8</x:f>
        <x:v>0.033003300330033</x:v>
      </x:c>
      <x:c r="D8" s="15" t="n">
        <x:v>30.3</x:v>
      </x:c>
      <x:c r="E8" s="13"/>
      <x:c r="F8" s="10" t="str">
        <x:v>未取得</x:v>
      </x:c>
      <x:c r="G8" s="13"/>
      <x:c r="H8" s="10" t="str"/>
      <x:c r="I8" s="17" t="n">
        <x:v>4348</x:v>
      </x:c>
      <x:c r="J8" s="10" t="str">
        <x:v>2025</x:v>
      </x:c>
      <x:c r="K8" s="17" t="n">
        <x:v>1612429</x:v>
      </x:c>
      <x:c r="L8" s="10" t="str">
        <x:v>2025</x:v>
      </x:c>
      <x:c r="M8" s="17" t="n">
        <x:v>8653</x:v>
      </x:c>
      <x:c r="N8" s="17"/>
      <x:c r="O8" s="10" t="str">
        <x:v>EUR</x:v>
      </x:c>
      <x:c r="P8" s="10" t="str"/>
      <x:c r="Q8" s="13"/>
      <x:c r="R8" s="10" t="str">
        <x:v>未取得</x:v>
      </x:c>
      <x:c r="S8" s="13"/>
      <x:c r="T8" s="10" t="str"/>
    </x:row>
    <x:row r="9" ht="54" customHeight="1">
      <x:c r="A9" s="11" t="str">
        <x:v>德国</x:v>
      </x:c>
      <x:c r="B9" s="11" t="str">
        <x:v>法兰克福</x:v>
      </x:c>
      <x:c r="C9" s="12" t="n">
        <x:f>1/D9</x:f>
        <x:v>0.05555555555555555</x:v>
      </x:c>
      <x:c r="D9" s="14" t="n">
        <x:v>18</x:v>
      </x:c>
      <x:c r="E9" s="12"/>
      <x:c r="F9" s="11" t="str">
        <x:v>未取得</x:v>
      </x:c>
      <x:c r="G9" s="12"/>
      <x:c r="H9" s="11" t="str"/>
      <x:c r="I9" s="16"/>
      <x:c r="J9" s="11" t="str"/>
      <x:c r="K9" s="16"/>
      <x:c r="L9" s="11" t="str"/>
      <x:c r="M9" s="16"/>
      <x:c r="N9" s="16"/>
      <x:c r="O9" s="11" t="str">
        <x:v>EUR</x:v>
      </x:c>
      <x:c r="P9" s="11" t="str"/>
      <x:c r="Q9" s="12"/>
      <x:c r="R9" s="11" t="str">
        <x:v>未取得</x:v>
      </x:c>
      <x:c r="S9" s="12"/>
      <x:c r="T9" s="11" t="str"/>
    </x:row>
    <x:row r="10" ht="54" customHeight="1">
      <x:c r="A10" s="10" t="str">
        <x:v>德国</x:v>
      </x:c>
      <x:c r="B10" s="10" t="str">
        <x:v>杜塞尔多夫</x:v>
      </x:c>
      <x:c r="C10" s="13" t="n">
        <x:f>1/D10</x:f>
        <x:v>0.039525691699604744</x:v>
      </x:c>
      <x:c r="D10" s="15" t="n">
        <x:v>25.3</x:v>
      </x:c>
      <x:c r="E10" s="13"/>
      <x:c r="F10" s="10" t="str">
        <x:v>未取得</x:v>
      </x:c>
      <x:c r="G10" s="13"/>
      <x:c r="H10" s="10" t="str"/>
      <x:c r="I10" s="17"/>
      <x:c r="J10" s="10" t="str"/>
      <x:c r="K10" s="17" t="n">
        <x:v>659312</x:v>
      </x:c>
      <x:c r="L10" s="10" t="str">
        <x:v>2025</x:v>
      </x:c>
      <x:c r="M10" s="17" t="n">
        <x:v>1067</x:v>
      </x:c>
      <x:c r="N10" s="17"/>
      <x:c r="O10" s="10" t="str">
        <x:v>EUR</x:v>
      </x:c>
      <x:c r="P10" s="10" t="str"/>
      <x:c r="Q10" s="13"/>
      <x:c r="R10" s="10" t="str">
        <x:v>未取得</x:v>
      </x:c>
      <x:c r="S10" s="13"/>
      <x:c r="T10" s="10" t="str"/>
    </x:row>
    <x:row r="11" ht="54" customHeight="1">
      <x:c r="A11" s="11" t="str">
        <x:v>美国</x:v>
      </x:c>
      <x:c r="B11" s="11" t="str">
        <x:v>纽约</x:v>
      </x:c>
      <x:c r="C11" s="12" t="n">
        <x:f>1/D11</x:f>
        <x:v>0.0970873786407767</x:v>
      </x:c>
      <x:c r="D11" s="14" t="n">
        <x:v>10.3</x:v>
      </x:c>
      <x:c r="E11" s="12"/>
      <x:c r="F11" s="11" t="str">
        <x:v>未取得</x:v>
      </x:c>
      <x:c r="G11" s="12"/>
      <x:c r="H11" s="11" t="str"/>
      <x:c r="I11" s="16"/>
      <x:c r="J11" s="11" t="str"/>
      <x:c r="K11" s="16"/>
      <x:c r="L11" s="11" t="str"/>
      <x:c r="M11" s="16"/>
      <x:c r="N11" s="16"/>
      <x:c r="O11" s="11" t="str">
        <x:v>USD</x:v>
      </x:c>
      <x:c r="P11" s="11" t="str"/>
      <x:c r="Q11" s="12"/>
      <x:c r="R11" s="11" t="str">
        <x:v>未取得</x:v>
      </x:c>
      <x:c r="S11" s="12"/>
      <x:c r="T11" s="11" t="str"/>
    </x:row>
    <x:row r="12" ht="54" customHeight="1">
      <x:c r="A12" s="10" t="str">
        <x:v>美国</x:v>
      </x:c>
      <x:c r="B12" s="10" t="str">
        <x:v>洛杉矶</x:v>
      </x:c>
      <x:c r="C12" s="13" t="n">
        <x:f>1/D12</x:f>
        <x:v>0.06993006993006992</x:v>
      </x:c>
      <x:c r="D12" s="15" t="n">
        <x:v>14.3</x:v>
      </x:c>
      <x:c r="E12" s="13"/>
      <x:c r="F12" s="10" t="str">
        <x:v>未取得</x:v>
      </x:c>
      <x:c r="G12" s="13"/>
      <x:c r="H12" s="10" t="str"/>
      <x:c r="I12" s="17"/>
      <x:c r="J12" s="10" t="str"/>
      <x:c r="K12" s="17"/>
      <x:c r="L12" s="10" t="str"/>
      <x:c r="M12" s="17"/>
      <x:c r="N12" s="17"/>
      <x:c r="O12" s="10" t="str">
        <x:v>USD</x:v>
      </x:c>
      <x:c r="P12" s="10" t="str"/>
      <x:c r="Q12" s="13"/>
      <x:c r="R12" s="10" t="str">
        <x:v>未取得</x:v>
      </x:c>
      <x:c r="S12" s="13"/>
      <x:c r="T12" s="10" t="str"/>
    </x:row>
    <x:row r="13" ht="54" customHeight="1">
      <x:c r="A13" s="11" t="str">
        <x:v>日本</x:v>
      </x:c>
      <x:c r="B13" s="11" t="str">
        <x:v>东京</x:v>
      </x:c>
      <x:c r="C13" s="12" t="n">
        <x:f>1/D13</x:f>
        <x:v>0.031446540880503145</x:v>
      </x:c>
      <x:c r="D13" s="14" t="n">
        <x:v>31.8</x:v>
      </x:c>
      <x:c r="E13" s="12"/>
      <x:c r="F13" s="11" t="str">
        <x:v>未取得</x:v>
      </x:c>
      <x:c r="G13" s="12"/>
      <x:c r="H13" s="11" t="str"/>
      <x:c r="I13" s="16"/>
      <x:c r="J13" s="11" t="str"/>
      <x:c r="K13" s="16"/>
      <x:c r="L13" s="11" t="str"/>
      <x:c r="M13" s="16"/>
      <x:c r="N13" s="16"/>
      <x:c r="O13" s="11" t="str">
        <x:v>JPY</x:v>
      </x:c>
      <x:c r="P13" s="11" t="str"/>
      <x:c r="Q13" s="12"/>
      <x:c r="R13" s="11" t="str">
        <x:v>未取得</x:v>
      </x:c>
      <x:c r="S13" s="12"/>
      <x:c r="T13" s="11" t="str"/>
    </x:row>
    <x:row r="14" ht="54" customHeight="1">
      <x:c r="A14" s="10" t="str">
        <x:v>日本</x:v>
      </x:c>
      <x:c r="B14" s="10" t="str">
        <x:v>大阪</x:v>
      </x:c>
      <x:c r="C14" s="13" t="n">
        <x:f>1/D14</x:f>
        <x:v>0.05341880341880342</x:v>
      </x:c>
      <x:c r="D14" s="15" t="n">
        <x:v>18.72</x:v>
      </x:c>
      <x:c r="E14" s="13"/>
      <x:c r="F14" s="10" t="str">
        <x:v>未取得</x:v>
      </x:c>
      <x:c r="G14" s="13"/>
      <x:c r="H14" s="10" t="str"/>
      <x:c r="I14" s="17"/>
      <x:c r="J14" s="10" t="str"/>
      <x:c r="K14" s="17"/>
      <x:c r="L14" s="10" t="str"/>
      <x:c r="M14" s="17"/>
      <x:c r="N14" s="17"/>
      <x:c r="O14" s="10" t="str">
        <x:v>JPY</x:v>
      </x:c>
      <x:c r="P14" s="10" t="str"/>
      <x:c r="Q14" s="13"/>
      <x:c r="R14" s="10" t="str">
        <x:v>未取得</x:v>
      </x:c>
      <x:c r="S14" s="13"/>
      <x:c r="T14" s="10" t="str"/>
    </x:row>
    <x:row r="15" ht="54" customHeight="1">
      <x:c r="A15" s="11" t="str">
        <x:v>中国</x:v>
      </x:c>
      <x:c r="B15" s="11" t="str">
        <x:v>北京</x:v>
      </x:c>
      <x:c r="C15" s="12" t="n">
        <x:f>1/D15</x:f>
        <x:v>0.0211864406779661</x:v>
      </x:c>
      <x:c r="D15" s="14" t="n">
        <x:v>47.2</x:v>
      </x:c>
      <x:c r="E15" s="12"/>
      <x:c r="F15" s="11" t="str">
        <x:v>未取得</x:v>
      </x:c>
      <x:c r="G15" s="12" t="n">
        <x:v>-0.02300000000000002</x:v>
      </x:c>
      <x:c r="H15" s="11" t="str">
        <x:v>2026-08</x:v>
      </x:c>
      <x:c r="I15" s="16"/>
      <x:c r="J15" s="11" t="str"/>
      <x:c r="K15" s="16" t="n">
        <x:v>21800000</x:v>
      </x:c>
      <x:c r="L15" s="11" t="str">
        <x:v>2025</x:v>
      </x:c>
      <x:c r="M15" s="16" t="n">
        <x:v>-32000</x:v>
      </x:c>
      <x:c r="N15" s="16"/>
      <x:c r="O15" s="11" t="str">
        <x:v>CNY</x:v>
      </x:c>
      <x:c r="P15" s="11" t="str"/>
      <x:c r="Q15" s="12" t="n">
        <x:v>0.125</x:v>
      </x:c>
      <x:c r="R15" s="11" t="str">
        <x:v>2026-01至08累计｜北京市｜新建住宅销售建筑面积累计同比，非套数或二手住宅</x:v>
      </x:c>
      <x:c r="S15" s="12" t="n">
        <x:v>-0.274</x:v>
      </x:c>
      <x:c r="T15" s="11" t="str">
        <x:v>2026-01至08累计</x:v>
      </x:c>
    </x:row>
    <x:row r="16" ht="54" customHeight="1">
      <x:c r="A16" s="10" t="str">
        <x:v>中国</x:v>
      </x:c>
      <x:c r="B16" s="10" t="str">
        <x:v>上海</x:v>
      </x:c>
      <x:c r="C16" s="13" t="n">
        <x:f>1/D16</x:f>
        <x:v>0.02012072434607646</x:v>
      </x:c>
      <x:c r="D16" s="15" t="n">
        <x:v>49.7</x:v>
      </x:c>
      <x:c r="E16" s="13"/>
      <x:c r="F16" s="10" t="str">
        <x:v>未取得</x:v>
      </x:c>
      <x:c r="G16" s="13" t="n">
        <x:v>0.030000000000000027</x:v>
      </x:c>
      <x:c r="H16" s="10" t="str">
        <x:v>2026-08</x:v>
      </x:c>
      <x:c r="I16" s="17"/>
      <x:c r="J16" s="10" t="str"/>
      <x:c r="K16" s="17"/>
      <x:c r="L16" s="10" t="str"/>
      <x:c r="M16" s="17"/>
      <x:c r="N16" s="17"/>
      <x:c r="O16" s="10" t="str">
        <x:v>CNY</x:v>
      </x:c>
      <x:c r="P16" s="10" t="str"/>
      <x:c r="Q16" s="13" t="n">
        <x:v>-0.097</x:v>
      </x:c>
      <x:c r="R16" s="10" t="str">
        <x:v>2025｜上海市｜新建住宅销售建筑面积累计同比，非套数或二手住宅</x:v>
      </x:c>
      <x:c r="S16" s="13" t="n">
        <x:v>0.348</x:v>
      </x:c>
      <x:c r="T16" s="10" t="str">
        <x:v>2025</x:v>
      </x:c>
    </x:row>
    <x:row r="17" ht="54" customHeight="1">
      <x:c r="A17" s="11" t="str">
        <x:v>中国</x:v>
      </x:c>
      <x:c r="B17" s="11" t="str">
        <x:v>杭州</x:v>
      </x:c>
      <x:c r="C17" s="12" t="n">
        <x:f>1/D17</x:f>
        <x:v>0.020790020790020788</x:v>
      </x:c>
      <x:c r="D17" s="14" t="n">
        <x:v>48.1</x:v>
      </x:c>
      <x:c r="E17" s="12"/>
      <x:c r="F17" s="11" t="str">
        <x:v>未取得</x:v>
      </x:c>
      <x:c r="G17" s="12" t="n">
        <x:v>0.02200000000000002</x:v>
      </x:c>
      <x:c r="H17" s="11" t="str">
        <x:v>2026-08</x:v>
      </x:c>
      <x:c r="I17" s="16"/>
      <x:c r="J17" s="11" t="str"/>
      <x:c r="K17" s="16"/>
      <x:c r="L17" s="11" t="str"/>
      <x:c r="M17" s="16"/>
      <x:c r="N17" s="16"/>
      <x:c r="O17" s="11" t="str">
        <x:v>CNY</x:v>
      </x:c>
      <x:c r="P17" s="11" t="str"/>
      <x:c r="Q17" s="12"/>
      <x:c r="R17" s="11" t="str">
        <x:v>未取得</x:v>
      </x:c>
      <x:c r="S17" s="12"/>
      <x:c r="T17" s="11" t="str"/>
    </x:row>
    <x:row r="18" ht="54" customHeight="1">
      <x:c r="A18" s="10" t="str">
        <x:v>中国</x:v>
      </x:c>
      <x:c r="B18" s="10" t="str">
        <x:v>成都</x:v>
      </x:c>
      <x:c r="C18" s="13" t="n">
        <x:f>1/D18</x:f>
        <x:v>0.03012048192771084</x:v>
      </x:c>
      <x:c r="D18" s="15" t="n">
        <x:v>33.2</x:v>
      </x:c>
      <x:c r="E18" s="13"/>
      <x:c r="F18" s="10" t="str">
        <x:v>未取得</x:v>
      </x:c>
      <x:c r="G18" s="13" t="n">
        <x:v>-0.050000000000000044</x:v>
      </x:c>
      <x:c r="H18" s="10" t="str">
        <x:v>2026-08</x:v>
      </x:c>
      <x:c r="I18" s="17"/>
      <x:c r="J18" s="10" t="str"/>
      <x:c r="K18" s="17"/>
      <x:c r="L18" s="10" t="str"/>
      <x:c r="M18" s="17"/>
      <x:c r="N18" s="17"/>
      <x:c r="O18" s="10" t="str">
        <x:v>CNY</x:v>
      </x:c>
      <x:c r="P18" s="10" t="str"/>
      <x:c r="Q18" s="13"/>
      <x:c r="R18" s="10" t="str">
        <x:v>未取得</x:v>
      </x:c>
      <x:c r="S18" s="13"/>
      <x:c r="T18" s="10" t="str"/>
    </x:row>
    <x:row r="19" ht="54" customHeight="1">
      <x:c r="A19" s="11" t="str">
        <x:v>英国</x:v>
      </x:c>
      <x:c r="B19" s="11" t="str">
        <x:v>伦敦</x:v>
      </x:c>
      <x:c r="C19" s="12" t="n">
        <x:f>1/D19</x:f>
        <x:v>0.05714285714285714</x:v>
      </x:c>
      <x:c r="D19" s="14" t="n">
        <x:v>17.5</x:v>
      </x:c>
      <x:c r="E19" s="12" t="n">
        <x:v>0.035</x:v>
      </x:c>
      <x:c r="F19" s="11" t="str">
        <x:v>2026-08｜大伦敦｜PIPR新旧租约，暂定</x:v>
      </x:c>
      <x:c r="G19" s="12"/>
      <x:c r="H19" s="11" t="str"/>
      <x:c r="I19" s="16"/>
      <x:c r="J19" s="11" t="str"/>
      <x:c r="K19" s="16"/>
      <x:c r="L19" s="11" t="str"/>
      <x:c r="M19" s="16"/>
      <x:c r="N19" s="16"/>
      <x:c r="O19" s="11" t="str">
        <x:v>GBP</x:v>
      </x:c>
      <x:c r="P19" s="11" t="str"/>
      <x:c r="Q19" s="12"/>
      <x:c r="R19" s="11" t="str">
        <x:v>未取得</x:v>
      </x:c>
      <x:c r="S19" s="12"/>
      <x:c r="T19" s="11" t="str"/>
    </x:row>
    <x:row r="20" ht="54" customHeight="1">
      <x:c r="A20" s="10" t="str">
        <x:v>法国</x:v>
      </x:c>
      <x:c r="B20" s="10" t="str">
        <x:v>巴黎</x:v>
      </x:c>
      <x:c r="C20" s="13" t="n">
        <x:f>1/D20</x:f>
        <x:v>0.026881720430107524</x:v>
      </x:c>
      <x:c r="D20" s="15" t="n">
        <x:v>37.2</x:v>
      </x:c>
      <x:c r="E20" s="13"/>
      <x:c r="F20" s="10" t="str">
        <x:v>未取得</x:v>
      </x:c>
      <x:c r="G20" s="13"/>
      <x:c r="H20" s="10" t="str"/>
      <x:c r="I20" s="17"/>
      <x:c r="J20" s="10" t="str"/>
      <x:c r="K20" s="17" t="n">
        <x:v>2103778</x:v>
      </x:c>
      <x:c r="L20" s="10" t="str">
        <x:v>2023</x:v>
      </x:c>
      <x:c r="M20" s="17"/>
      <x:c r="N20" s="17"/>
      <x:c r="O20" s="10" t="str">
        <x:v>EUR</x:v>
      </x:c>
      <x:c r="P20" s="10" t="str"/>
      <x:c r="Q20" s="13"/>
      <x:c r="R20" s="10" t="str">
        <x:v>未取得</x:v>
      </x:c>
      <x:c r="S20" s="13"/>
      <x:c r="T20" s="10" t="str"/>
    </x:row>
    <x:row r="21" ht="54" customHeight="1">
      <x:c r="A21" s="11" t="str">
        <x:v>荷兰</x:v>
      </x:c>
      <x:c r="B21" s="11" t="str">
        <x:v>阿姆斯特丹</x:v>
      </x:c>
      <x:c r="C21" s="12" t="n">
        <x:f>1/D21</x:f>
        <x:v>0.05555555555555555</x:v>
      </x:c>
      <x:c r="D21" s="14" t="n">
        <x:v>18</x:v>
      </x:c>
      <x:c r="E21" s="12"/>
      <x:c r="F21" s="11" t="str">
        <x:v>未取得</x:v>
      </x:c>
      <x:c r="G21" s="12"/>
      <x:c r="H21" s="11" t="str"/>
      <x:c r="I21" s="16"/>
      <x:c r="J21" s="11" t="str"/>
      <x:c r="K21" s="16" t="n">
        <x:v>941873</x:v>
      </x:c>
      <x:c r="L21" s="11" t="str">
        <x:v>2025</x:v>
      </x:c>
      <x:c r="M21" s="16" t="n">
        <x:v>7500</x:v>
      </x:c>
      <x:c r="N21" s="16"/>
      <x:c r="O21" s="11" t="str">
        <x:v>EUR</x:v>
      </x:c>
      <x:c r="P21" s="11" t="str"/>
      <x:c r="Q21" s="12"/>
      <x:c r="R21" s="11" t="str">
        <x:v>未取得</x:v>
      </x:c>
      <x:c r="S21" s="12"/>
      <x:c r="T21" s="11" t="str"/>
    </x:row>
    <x:row r="22" ht="54" customHeight="1">
      <x:c r="A22" s="10" t="str">
        <x:v>西班牙</x:v>
      </x:c>
      <x:c r="B22" s="10" t="str">
        <x:v>马德里</x:v>
      </x:c>
      <x:c r="C22" s="13" t="n">
        <x:f>1/D22</x:f>
        <x:v>0.05714285714285714</x:v>
      </x:c>
      <x:c r="D22" s="15" t="n">
        <x:v>17.5</x:v>
      </x:c>
      <x:c r="E22" s="13"/>
      <x:c r="F22" s="10" t="str">
        <x:v>未取得</x:v>
      </x:c>
      <x:c r="G22" s="13"/>
      <x:c r="H22" s="10" t="str"/>
      <x:c r="I22" s="17"/>
      <x:c r="J22" s="10" t="str"/>
      <x:c r="K22" s="17" t="n">
        <x:v>3497277</x:v>
      </x:c>
      <x:c r="L22" s="10" t="str">
        <x:v>2025</x:v>
      </x:c>
      <x:c r="M22" s="17"/>
      <x:c r="N22" s="17" t="n">
        <x:v>4184</x:v>
      </x:c>
      <x:c r="O22" s="10" t="str">
        <x:v>EUR</x:v>
      </x:c>
      <x:c r="P22" s="10" t="str">
        <x:v>2024</x:v>
      </x:c>
      <x:c r="Q22" s="13"/>
      <x:c r="R22" s="10" t="str">
        <x:v>未取得</x:v>
      </x:c>
      <x:c r="S22" s="13"/>
      <x:c r="T22" s="10" t="str"/>
    </x:row>
    <x:row r="23" ht="54" customHeight="1">
      <x:c r="A23" s="11" t="str">
        <x:v>西班牙</x:v>
      </x:c>
      <x:c r="B23" s="11" t="str">
        <x:v>巴塞罗那</x:v>
      </x:c>
      <x:c r="C23" s="12" t="n">
        <x:f>1/D23</x:f>
        <x:v>0.04950495049504951</x:v>
      </x:c>
      <x:c r="D23" s="14" t="n">
        <x:v>20.2</x:v>
      </x:c>
      <x:c r="E23" s="12"/>
      <x:c r="F23" s="11" t="str">
        <x:v>未取得</x:v>
      </x:c>
      <x:c r="G23" s="12"/>
      <x:c r="H23" s="11" t="str"/>
      <x:c r="I23" s="16"/>
      <x:c r="J23" s="11" t="str"/>
      <x:c r="K23" s="16"/>
      <x:c r="L23" s="11" t="str"/>
      <x:c r="M23" s="16"/>
      <x:c r="N23" s="16" t="n">
        <x:v>4075</x:v>
      </x:c>
      <x:c r="O23" s="11" t="str">
        <x:v>EUR</x:v>
      </x:c>
      <x:c r="P23" s="11" t="str">
        <x:v>2024</x:v>
      </x:c>
      <x:c r="Q23" s="12"/>
      <x:c r="R23" s="11" t="str">
        <x:v>未取得</x:v>
      </x:c>
      <x:c r="S23" s="12"/>
      <x:c r="T23" s="11" t="str"/>
    </x:row>
    <x:row r="24" ht="54" customHeight="1">
      <x:c r="A24" s="10" t="str">
        <x:v>意大利</x:v>
      </x:c>
      <x:c r="B24" s="10" t="str">
        <x:v>米兰</x:v>
      </x:c>
      <x:c r="C24" s="13" t="n">
        <x:f>1/D24</x:f>
        <x:v>0.04926108374384236</x:v>
      </x:c>
      <x:c r="D24" s="15" t="n">
        <x:v>20.3</x:v>
      </x:c>
      <x:c r="E24" s="13"/>
      <x:c r="F24" s="10" t="str">
        <x:v>未取得</x:v>
      </x:c>
      <x:c r="G24" s="13"/>
      <x:c r="H24" s="10" t="str"/>
      <x:c r="I24" s="17"/>
      <x:c r="J24" s="10" t="str"/>
      <x:c r="K24" s="17"/>
      <x:c r="L24" s="10" t="str"/>
      <x:c r="M24" s="17"/>
      <x:c r="N24" s="17"/>
      <x:c r="O24" s="10" t="str">
        <x:v>EUR</x:v>
      </x:c>
      <x:c r="P24" s="10" t="str"/>
      <x:c r="Q24" s="13"/>
      <x:c r="R24" s="10" t="str">
        <x:v>未取得</x:v>
      </x:c>
      <x:c r="S24" s="13"/>
      <x:c r="T24" s="10" t="str"/>
    </x:row>
    <x:row r="25" ht="54" customHeight="1">
      <x:c r="A25" s="11" t="str">
        <x:v>奥地利</x:v>
      </x:c>
      <x:c r="B25" s="11" t="str">
        <x:v>维也纳</x:v>
      </x:c>
      <x:c r="C25" s="12" t="n">
        <x:f>1/D25</x:f>
        <x:v>0.030487804878048783</x:v>
      </x:c>
      <x:c r="D25" s="14" t="n">
        <x:v>32.8</x:v>
      </x:c>
      <x:c r="E25" s="12"/>
      <x:c r="F25" s="11" t="str">
        <x:v>未取得</x:v>
      </x:c>
      <x:c r="G25" s="12"/>
      <x:c r="H25" s="11" t="str"/>
      <x:c r="I25" s="16"/>
      <x:c r="J25" s="11" t="str"/>
      <x:c r="K25" s="16" t="n">
        <x:v>2040914</x:v>
      </x:c>
      <x:c r="L25" s="11" t="str">
        <x:v>2025</x:v>
      </x:c>
      <x:c r="M25" s="16" t="n">
        <x:v>12625</x:v>
      </x:c>
      <x:c r="N25" s="16"/>
      <x:c r="O25" s="11" t="str">
        <x:v>EUR</x:v>
      </x:c>
      <x:c r="P25" s="11" t="str"/>
      <x:c r="Q25" s="12"/>
      <x:c r="R25" s="11" t="str">
        <x:v>未取得</x:v>
      </x:c>
      <x:c r="S25" s="12"/>
      <x:c r="T25" s="11" t="str"/>
    </x:row>
    <x:row r="26" ht="54" customHeight="1">
      <x:c r="A26" s="10" t="str">
        <x:v>瑞士</x:v>
      </x:c>
      <x:c r="B26" s="10" t="str">
        <x:v>苏黎世</x:v>
      </x:c>
      <x:c r="C26" s="13" t="n">
        <x:f>1/D26</x:f>
        <x:v>0.031347962382445145</x:v>
      </x:c>
      <x:c r="D26" s="15" t="n">
        <x:v>31.9</x:v>
      </x:c>
      <x:c r="E26" s="13"/>
      <x:c r="F26" s="10" t="str">
        <x:v>未取得</x:v>
      </x:c>
      <x:c r="G26" s="13"/>
      <x:c r="H26" s="10" t="str"/>
      <x:c r="I26" s="17"/>
      <x:c r="J26" s="10" t="str"/>
      <x:c r="K26" s="17"/>
      <x:c r="L26" s="10" t="str"/>
      <x:c r="M26" s="17"/>
      <x:c r="N26" s="17"/>
      <x:c r="O26" s="10" t="str">
        <x:v>CHF</x:v>
      </x:c>
      <x:c r="P26" s="10" t="str"/>
      <x:c r="Q26" s="13"/>
      <x:c r="R26" s="10" t="str">
        <x:v>未取得</x:v>
      </x:c>
      <x:c r="S26" s="13"/>
      <x:c r="T26" s="10" t="str"/>
    </x:row>
  </x:sheetData>
  <x:mergeCells>
    <x:mergeCell ref="A2:F2"/>
    <x:mergeCell ref="A3:H4"/>
  </x:mergeCells>
  <x:pageMargins left="0.7" right="0.7" top="0.75" bottom="0.75" header="0.3" footer="0.3"/>
  <x:tableParts count="1">
    <x:tablePart xmlns:r="http://schemas.openxmlformats.org/officeDocument/2006/relationships" r:id="Rb7b8737e660e4d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43" hidden="0" customWidth="1"/>
    <x:col min="3" max="3" width="23" hidden="0" customWidth="1"/>
    <x:col min="4" max="4" width="25" hidden="0" customWidth="1"/>
    <x:col min="5" max="5" width="25" hidden="0" customWidth="1"/>
    <x:col min="6" max="6" width="27" hidden="0" customWidth="1"/>
    <x:col min="7" max="7" width="22" hidden="0" customWidth="1"/>
    <x:col min="8" max="8" width="18" hidden="0" customWidth="1"/>
    <x:col min="9" max="9" width="70" hidden="0" customWidth="1"/>
    <x:col min="10" max="10" width="8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6" customHeight="1">
      <x:c r="A2" s="3" t="str">
        <x:v>来源登记与连接状态</x:v>
      </x:c>
      <x:c r="B2" s="3"/>
      <x:c r="C2" s="3"/>
      <x:c r="D2" s="3"/>
      <x:c r="E2" s="3"/>
      <x:c r="F2" s="3"/>
      <x:c r="G2" s="2"/>
      <x:c r="H2" s="2"/>
      <x:c r="I2" s="2"/>
      <x:c r="J2" s="2"/>
    </x:row>
    <x:row r="3" ht="20" customHeight="1">
      <x:c r="A3" s="5" t="str">
        <x:v>A=官方；B=一手研究/调查；C=众包模型。当前接入方式为Codex网页采集+结构化入库，没有声称已建立无人值守API连接。</x:v>
      </x:c>
      <x:c r="B3" s="5"/>
      <x:c r="C3" s="5"/>
      <x:c r="D3" s="5"/>
      <x:c r="E3" s="5"/>
      <x:c r="F3" s="5"/>
      <x:c r="G3" s="5"/>
      <x:c r="H3" s="5"/>
      <x:c r="I3" s="2"/>
      <x:c r="J3" s="2"/>
    </x:row>
    <x:row r="4" ht="20" customHeight="1">
      <x:c r="A4" s="5"/>
      <x:c r="B4" s="5"/>
      <x:c r="C4" s="5"/>
      <x:c r="D4" s="5"/>
      <x:c r="E4" s="5"/>
      <x:c r="F4" s="5"/>
      <x:c r="G4" s="5"/>
      <x:c r="H4" s="5"/>
      <x:c r="I4" s="2"/>
      <x:c r="J4" s="2"/>
    </x:row>
    <x:row r="5" ht="10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4" customHeight="1">
      <x:c r="A6" s="8" t="str">
        <x:v>来源ID</x:v>
      </x:c>
      <x:c r="B6" s="8" t="str">
        <x:v>来源</x:v>
      </x:c>
      <x:c r="C6" s="8" t="str">
        <x:v>等级</x:v>
      </x:c>
      <x:c r="D6" s="8" t="str">
        <x:v>地域</x:v>
      </x:c>
      <x:c r="E6" s="8" t="str">
        <x:v>数据频率</x:v>
      </x:c>
      <x:c r="F6" s="8" t="str">
        <x:v>采集状态</x:v>
      </x:c>
      <x:c r="G6" s="8" t="str">
        <x:v>访问方式</x:v>
      </x:c>
      <x:c r="H6" s="8" t="str">
        <x:v>最后检查</x:v>
      </x:c>
      <x:c r="I6" s="8" t="str">
        <x:v>原始链接</x:v>
      </x:c>
      <x:c r="J6" s="8" t="str">
        <x:v>限制/后续工作</x:v>
      </x:c>
    </x:row>
    <x:row r="7" ht="42" customHeight="1">
      <x:c r="A7" s="11" t="str">
        <x:v>numbeo</x:v>
      </x:c>
      <x:c r="B7" s="11" t="str">
        <x:v>Numbeo 房产指标 2026年中版</x:v>
      </x:c>
      <x:c r="C7" s="11" t="str">
        <x:v>C 非官方众包模型</x:v>
      </x:c>
      <x:c r="D7" s="11" t="str">
        <x:v>20城（大阪使用单城页）</x:v>
      </x:c>
      <x:c r="E7" s="11" t="str">
        <x:v>半年版；月度检查</x:v>
      </x:c>
      <x:c r="F7" s="11" t="str">
        <x:v>已采集</x:v>
      </x:c>
      <x:c r="G7" s="11" t="str">
        <x:v>web-assisted</x:v>
      </x:c>
      <x:c r="H7" s="11" t="str">
        <x:v>2026-09-28</x:v>
      </x:c>
      <x:c r="I7" s="11" t="str">
        <x:v>https://www.numbeo.com/property-investment/rankings.jsp?title=2026-mid</x:v>
      </x:c>
      <x:c r="J7" s="11" t="str">
        <x:v>统一模型参考，不是实际成交或官方家庭收入比；保留中心/非中心区别。</x:v>
      </x:c>
    </x:row>
    <x:row r="8" ht="42" customHeight="1">
      <x:c r="A8" s="10" t="str">
        <x:v>numbeo-method</x:v>
      </x:c>
      <x:c r="B8" s="10" t="str">
        <x:v>Numbeo 指标算法</x:v>
      </x:c>
      <x:c r="C8" s="10" t="str">
        <x:v>C 非官方众包模型</x:v>
      </x:c>
      <x:c r="D8" s="10" t="str">
        <x:v>全部城市</x:v>
      </x:c>
      <x:c r="E8" s="10" t="str">
        <x:v>方法变更时</x:v>
      </x:c>
      <x:c r="F8" s="10" t="str">
        <x:v>方法已核实</x:v>
      </x:c>
      <x:c r="G8" s="10" t="str">
        <x:v>web-assisted</x:v>
      </x:c>
      <x:c r="H8" s="10" t="str">
        <x:v>2026-09-28</x:v>
      </x:c>
      <x:c r="I8" s="10" t="str">
        <x:v>https://www.numbeo.com/property-investment/indicators_explained.jsp</x:v>
      </x:c>
      <x:c r="J8" s="10" t="str">
        <x:v>90平方米住房；家庭年净收入=月均净工资×1.5×12；租金面积按50/110平方米假设。</x:v>
      </x:c>
    </x:row>
    <x:row r="9" ht="42" customHeight="1">
      <x:c r="A9" s="11" t="str">
        <x:v>osaka-numbeo</x:v>
      </x:c>
      <x:c r="B9" s="11" t="str">
        <x:v>Numbeo 大阪单城页</x:v>
      </x:c>
      <x:c r="C9" s="11" t="str">
        <x:v>C 非官方众包模型</x:v>
      </x:c>
      <x:c r="D9" s="11" t="str">
        <x:v>大阪</x:v>
      </x:c>
      <x:c r="E9" s="11" t="str">
        <x:v>月度检查</x:v>
      </x:c>
      <x:c r="F9" s="11" t="str">
        <x:v>索引摘要已采集</x:v>
      </x:c>
      <x:c r="G9" s="11" t="str">
        <x:v>web-assisted</x:v>
      </x:c>
      <x:c r="H9" s="11" t="str">
        <x:v>2026-09-28</x:v>
      </x:c>
      <x:c r="I9" s="11" t="str">
        <x:v>https://www.numbeo.com/property-investment/in/Osaka</x:v>
      </x:c>
      <x:c r="J9" s="11" t="str">
        <x:v>完整页面503；源页面最后更新2026-05-27，15名贡献者、82条输入、18个月窗口。不可标成9月行情。</x:v>
      </x:c>
    </x:row>
    <x:row r="10" ht="42" customHeight="1">
      <x:c r="A10" s="10" t="str">
        <x:v>berlin-migration</x:v>
      </x:c>
      <x:c r="B10" s="10" t="str">
        <x:v>柏林勃兰登堡统计局：人口迁移</x:v>
      </x:c>
      <x:c r="C10" s="10" t="str">
        <x:v>A 官方统计</x:v>
      </x:c>
      <x:c r="D10" s="10" t="str">
        <x:v>柏林</x:v>
      </x:c>
      <x:c r="E10" s="10" t="str">
        <x:v>年度</x:v>
      </x:c>
      <x:c r="F10" s="10" t="str">
        <x:v>索引摘要已采集</x:v>
      </x:c>
      <x:c r="G10" s="10" t="str">
        <x:v>web-assisted</x:v>
      </x:c>
      <x:c r="H10" s="10" t="str">
        <x:v>2026-09-28</x:v>
      </x:c>
      <x:c r="I10" s="10" t="str">
        <x:v>https://www.statistik-berlin-brandenburg.de/a-iii-2-j/</x:v>
      </x:c>
      <x:c r="J10" s="10" t="str">
        <x:v>2025迁移表19,698；人口新闻稿19,699，保留1人差异，主表采用专门迁移表。</x:v>
      </x:c>
    </x:row>
    <x:row r="11" ht="42" customHeight="1">
      <x:c r="A11" s="11" t="str">
        <x:v>berlin-pop</x:v>
      </x:c>
      <x:c r="B11" s="11" t="str">
        <x:v>柏林勃兰登堡统计局：2025人口</x:v>
      </x:c>
      <x:c r="C11" s="11" t="str">
        <x:v>A 官方统计</x:v>
      </x:c>
      <x:c r="D11" s="11" t="str">
        <x:v>柏林</x:v>
      </x:c>
      <x:c r="E11" s="11" t="str">
        <x:v>年度</x:v>
      </x:c>
      <x:c r="F11" s="11" t="str">
        <x:v>已采集</x:v>
      </x:c>
      <x:c r="G11" s="11" t="str">
        <x:v>web-assisted</x:v>
      </x:c>
      <x:c r="H11" s="11" t="str">
        <x:v>2026-09-28</x:v>
      </x:c>
      <x:c r="I11" s="11" t="str">
        <x:v>https://www.statistik-berlin-brandenburg.de/presse/2026/73-bevoelkerungsfortschreibung-2025-berlin/</x:v>
      </x:c>
      <x:c r="J11" s="11" t="str"/>
    </x:row>
    <x:row r="12" ht="42" customHeight="1">
      <x:c r="A12" s="10" t="str">
        <x:v>berlin-supply</x:v>
      </x:c>
      <x:c r="B12" s="10" t="str">
        <x:v>柏林勃兰登堡统计局：竣工住宅</x:v>
      </x:c>
      <x:c r="C12" s="10" t="str">
        <x:v>A 官方统计</x:v>
      </x:c>
      <x:c r="D12" s="10" t="str">
        <x:v>柏林</x:v>
      </x:c>
      <x:c r="E12" s="10" t="str">
        <x:v>年度</x:v>
      </x:c>
      <x:c r="F12" s="10" t="str">
        <x:v>已采集</x:v>
      </x:c>
      <x:c r="G12" s="10" t="str">
        <x:v>web-assisted</x:v>
      </x:c>
      <x:c r="H12" s="10" t="str">
        <x:v>2026-09-28</x:v>
      </x:c>
      <x:c r="I12" s="10" t="str">
        <x:v>https://www.statistik-berlin-brandenburg.de/wirtschaft/wirtschaftsbereiche/gebaeude-und-wohnungen/</x:v>
      </x:c>
      <x:c r="J12" s="10" t="str"/>
    </x:row>
    <x:row r="13" ht="42" customHeight="1">
      <x:c r="A13" s="11" t="str">
        <x:v>munich-pop</x:v>
      </x:c>
      <x:c r="B13" s="11" t="str">
        <x:v>慕尼黑统计局：人口</x:v>
      </x:c>
      <x:c r="C13" s="11" t="str">
        <x:v>A 官方统计</x:v>
      </x:c>
      <x:c r="D13" s="11" t="str">
        <x:v>慕尼黑</x:v>
      </x:c>
      <x:c r="E13" s="11" t="str">
        <x:v>月度/年度</x:v>
      </x:c>
      <x:c r="F13" s="11" t="str">
        <x:v>已采集</x:v>
      </x:c>
      <x:c r="G13" s="11" t="str">
        <x:v>web-assisted</x:v>
      </x:c>
      <x:c r="H13" s="11" t="str">
        <x:v>2026-09-28</x:v>
      </x:c>
      <x:c r="I13" s="11" t="str">
        <x:v>https://stadt.muenchen.de/infos/statistik-bevoelkerung.html</x:v>
      </x:c>
      <x:c r="J13" s="11" t="str">
        <x:v>正文一处误写2024；2025基本数及2026一季度统计报告均支持迁入99,963、迁出95,138。登记清理影响流量。</x:v>
      </x:c>
    </x:row>
    <x:row r="14" ht="42" customHeight="1">
      <x:c r="A14" s="10" t="str">
        <x:v>munich-report</x:v>
      </x:c>
      <x:c r="B14" s="10" t="str">
        <x:v>慕尼黑2026一季度统计报告</x:v>
      </x:c>
      <x:c r="C14" s="10" t="str">
        <x:v>A 官方统计</x:v>
      </x:c>
      <x:c r="D14" s="10" t="str">
        <x:v>慕尼黑</x:v>
      </x:c>
      <x:c r="E14" s="10" t="str">
        <x:v>年度</x:v>
      </x:c>
      <x:c r="F14" s="10" t="str">
        <x:v>已采集</x:v>
      </x:c>
      <x:c r="G14" s="10" t="str">
        <x:v>web-assisted</x:v>
      </x:c>
      <x:c r="H14" s="10" t="str">
        <x:v>2026-09-28</x:v>
      </x:c>
      <x:c r="I14" s="10" t="str">
        <x:v>https://stadt.muenchen.de/dam/jcr%3Aa5c21f77-b133-4cac-8a88-fe84b76cfe16/mb260101.pdf</x:v>
      </x:c>
      <x:c r="J14" s="10" t="str"/>
    </x:row>
    <x:row r="15" ht="42" customHeight="1">
      <x:c r="A15" s="11" t="str">
        <x:v>munich-supply</x:v>
      </x:c>
      <x:c r="B15" s="11" t="str">
        <x:v>慕尼黑统计局：建筑和住房</x:v>
      </x:c>
      <x:c r="C15" s="11" t="str">
        <x:v>A 官方统计</x:v>
      </x:c>
      <x:c r="D15" s="11" t="str">
        <x:v>慕尼黑</x:v>
      </x:c>
      <x:c r="E15" s="11" t="str">
        <x:v>年度</x:v>
      </x:c>
      <x:c r="F15" s="11" t="str">
        <x:v>已采集</x:v>
      </x:c>
      <x:c r="G15" s="11" t="str">
        <x:v>web-assisted</x:v>
      </x:c>
      <x:c r="H15" s="11" t="str">
        <x:v>2026-09-28</x:v>
      </x:c>
      <x:c r="I15" s="11" t="str">
        <x:v>https://stadt.muenchen.de/infos/statistik-bau--und-wohnungswesen.html</x:v>
      </x:c>
      <x:c r="J15" s="11" t="str"/>
    </x:row>
    <x:row r="16" ht="42" customHeight="1">
      <x:c r="A16" s="10" t="str">
        <x:v>dusseldorf-pop</x:v>
      </x:c>
      <x:c r="B16" s="10" t="str">
        <x:v>杜塞尔多夫市：2025人口</x:v>
      </x:c>
      <x:c r="C16" s="10" t="str">
        <x:v>A 官方统计</x:v>
      </x:c>
      <x:c r="D16" s="10" t="str">
        <x:v>杜塞尔多夫</x:v>
      </x:c>
      <x:c r="E16" s="10" t="str">
        <x:v>年度</x:v>
      </x:c>
      <x:c r="F16" s="10" t="str">
        <x:v>已采集</x:v>
      </x:c>
      <x:c r="G16" s="10" t="str">
        <x:v>web-assisted</x:v>
      </x:c>
      <x:c r="H16" s="10" t="str">
        <x:v>2026-09-28</x:v>
      </x:c>
      <x:c r="I16" s="10" t="str">
        <x:v>https://www.duesseldorf.de/medienportal/pressemitteilung?cHash=183cca750b76fd8ff9b90b87ff76025c&amp;tx_pld_frontpage%5Baction%5D=detail&amp;tx_pld_frontpage%5Bcontroller%5D=FrontendNews&amp;tx_pld_frontpage%5Bnews%5D=64196</x:v>
      </x:c>
      <x:c r="J16" s="10" t="str"/>
    </x:row>
    <x:row r="17" ht="42" customHeight="1">
      <x:c r="A17" s="11" t="str">
        <x:v>empirica-vacancy</x:v>
      </x:c>
      <x:c r="B17" s="11" t="str">
        <x:v>CBRE-empirica 市场活跃空置指数</x:v>
      </x:c>
      <x:c r="C17" s="11" t="str">
        <x:v>B 研究机构</x:v>
      </x:c>
      <x:c r="D17" s="11" t="str">
        <x:v>德国城市</x:v>
      </x:c>
      <x:c r="E17" s="11" t="str">
        <x:v>年度</x:v>
      </x:c>
      <x:c r="F17" s="11" t="str">
        <x:v>已采集</x:v>
      </x:c>
      <x:c r="G17" s="11" t="str">
        <x:v>web-assisted</x:v>
      </x:c>
      <x:c r="H17" s="11" t="str">
        <x:v>2026-09-28</x:v>
      </x:c>
      <x:c r="I17" s="11" t="str">
        <x:v>https://www.empirica-institut.de/thema/regionaldatenbank/jahres-werte-cbre-empirica-leerstandsindex-marktaktiv/</x:v>
      </x:c>
      <x:c r="J17" s="11" t="str">
        <x:v>2025发布版对应2024年末；仅可直接出租或中期可激活的多户住宅。</x:v>
      </x:c>
    </x:row>
    <x:row r="18" ht="42" customHeight="1">
      <x:c r="A18" s="10" t="str">
        <x:v>nyc-vacancy</x:v>
      </x:c>
      <x:c r="B18" s="10" t="str">
        <x:v>纽约市：住房事实/HVS</x:v>
      </x:c>
      <x:c r="C18" s="10" t="str">
        <x:v>A 官方统计</x:v>
      </x:c>
      <x:c r="D18" s="10" t="str">
        <x:v>纽约市五区</x:v>
      </x:c>
      <x:c r="E18" s="10" t="str">
        <x:v>调查发布时</x:v>
      </x:c>
      <x:c r="F18" s="10" t="str">
        <x:v>已采集</x:v>
      </x:c>
      <x:c r="G18" s="10" t="str">
        <x:v>web-assisted</x:v>
      </x:c>
      <x:c r="H18" s="10" t="str">
        <x:v>2026-09-28</x:v>
      </x:c>
      <x:c r="I18" s="10" t="str">
        <x:v>https://www.nyc.gov/content/tenantprotection/pages/fast-facts-about-housing-in-nyc</x:v>
      </x:c>
      <x:c r="J18" s="10" t="str"/>
    </x:row>
    <x:row r="19" ht="42" customHeight="1">
      <x:c r="A19" s="11" t="str">
        <x:v>la-vacancy</x:v>
      </x:c>
      <x:c r="B19" s="11" t="str">
        <x:v>美国人口普查局 ACS B25002</x:v>
      </x:c>
      <x:c r="C19" s="11" t="str">
        <x:v>A 官方统计</x:v>
      </x:c>
      <x:c r="D19" s="11" t="str">
        <x:v>洛杉矶市</x:v>
      </x:c>
      <x:c r="E19" s="11" t="str">
        <x:v>年度</x:v>
      </x:c>
      <x:c r="F19" s="11" t="str">
        <x:v>已采集</x:v>
      </x:c>
      <x:c r="G19" s="11" t="str">
        <x:v>web-assisted</x:v>
      </x:c>
      <x:c r="H19" s="11" t="str">
        <x:v>2026-09-28</x:v>
      </x:c>
      <x:c r="I19" s="11" t="str">
        <x:v>https://data.census.gov/table/ACSDT1Y2024.B25002?g=160XX00US0644000</x:v>
      </x:c>
      <x:c r="J19" s="11" t="str">
        <x:v>2024一年期抽样；总住房1,587,311，空置106,442。估计数存在抽样误差。2025版仍待核实。</x:v>
      </x:c>
    </x:row>
    <x:row r="20" ht="42" customHeight="1">
      <x:c r="A20" s="10" t="str">
        <x:v>tokyo-vacancy</x:v>
      </x:c>
      <x:c r="B20" s="10" t="str">
        <x:v>东京都2023住宅土地统计</x:v>
      </x:c>
      <x:c r="C20" s="10" t="str">
        <x:v>A 官方统计</x:v>
      </x:c>
      <x:c r="D20" s="10" t="str">
        <x:v>东京都全域</x:v>
      </x:c>
      <x:c r="E20" s="10" t="str">
        <x:v>五年普查</x:v>
      </x:c>
      <x:c r="F20" s="10" t="str">
        <x:v>已采集</x:v>
      </x:c>
      <x:c r="G20" s="10" t="str">
        <x:v>web-assisted</x:v>
      </x:c>
      <x:c r="H20" s="10" t="str">
        <x:v>2026-09-28</x:v>
      </x:c>
      <x:c r="I20" s="10" t="str">
        <x:v>https://www.toukei.metro.tokyo.lg.jp/jyutaku/2023/jt23tgaiyou.pdf</x:v>
      </x:c>
      <x:c r="J20" s="10" t="str">
        <x:v>与Numbeo Tokyo地理边界不完全一致，不能视为23区空置率。</x:v>
      </x:c>
    </x:row>
    <x:row r="21" ht="42" customHeight="1">
      <x:c r="A21" s="11" t="str">
        <x:v>osaka-vacancy</x:v>
      </x:c>
      <x:c r="B21" s="11" t="str">
        <x:v>大阪市住房统计资料</x:v>
      </x:c>
      <x:c r="C21" s="11" t="str">
        <x:v>A 官方统计</x:v>
      </x:c>
      <x:c r="D21" s="11" t="str">
        <x:v>大阪市</x:v>
      </x:c>
      <x:c r="E21" s="11" t="str">
        <x:v>五年普查</x:v>
      </x:c>
      <x:c r="F21" s="11" t="str">
        <x:v>索引摘要已采集</x:v>
      </x:c>
      <x:c r="G21" s="11" t="str">
        <x:v>web-assisted</x:v>
      </x:c>
      <x:c r="H21" s="11" t="str">
        <x:v>2026-09-28</x:v>
      </x:c>
      <x:c r="I21" s="11" t="str">
        <x:v>https://www.city.osaka.lg.jp/toshiseibi/cmsfiles/contents/0000672/672023/shiryou1.pdf</x:v>
      </x:c>
      <x:c r="J21" s="11" t="str">
        <x:v>2023总体空置16.1%；无特定用途空置4.1%，不能混用。</x:v>
      </x:c>
    </x:row>
    <x:row r="22" ht="42" customHeight="1">
      <x:c r="A22" s="10" t="str">
        <x:v>nbs-price</x:v>
      </x:c>
      <x:c r="B22" s="10" t="str">
        <x:v>国家统计局70城住宅价格指数</x:v>
      </x:c>
      <x:c r="C22" s="10" t="str">
        <x:v>A 官方统计</x:v>
      </x:c>
      <x:c r="D22" s="10" t="str">
        <x:v>北京/上海/杭州/成都</x:v>
      </x:c>
      <x:c r="E22" s="10" t="str">
        <x:v>月度</x:v>
      </x:c>
      <x:c r="F22" s="10" t="str">
        <x:v>官方索引表已采集</x:v>
      </x:c>
      <x:c r="G22" s="10" t="str">
        <x:v>web-assisted</x:v>
      </x:c>
      <x:c r="H22" s="10" t="str">
        <x:v>2026-09-28</x:v>
      </x:c>
      <x:c r="I22" s="10" t="str">
        <x:v>https://www.stats.gov.cn/sj/zxfb/202609/t20260915_1965304.html</x:v>
      </x:c>
      <x:c r="J22" s="10" t="str">
        <x:v>2026年8月；主页面超时，数值来自官方页面索引的表1/表2，需下次直连复核。</x:v>
      </x:c>
    </x:row>
    <x:row r="23" ht="42" customHeight="1">
      <x:c r="A23" s="11" t="str">
        <x:v>beijing-stats</x:v>
      </x:c>
      <x:c r="B23" s="11" t="str">
        <x:v>北京市2025统计公报</x:v>
      </x:c>
      <x:c r="C23" s="11" t="str">
        <x:v>A 官方统计</x:v>
      </x:c>
      <x:c r="D23" s="11" t="str">
        <x:v>北京市</x:v>
      </x:c>
      <x:c r="E23" s="11" t="str">
        <x:v>年度</x:v>
      </x:c>
      <x:c r="F23" s="11" t="str">
        <x:v>已采集</x:v>
      </x:c>
      <x:c r="G23" s="11" t="str">
        <x:v>web-assisted</x:v>
      </x:c>
      <x:c r="H23" s="11" t="str">
        <x:v>2026-09-28</x:v>
      </x:c>
      <x:c r="I23" s="11" t="str">
        <x:v>https://www.beijing.gov.cn/zhengce/zhengcefagui/202603/t20260325_4565678.html</x:v>
      </x:c>
      <x:c r="J23" s="11" t="str"/>
    </x:row>
    <x:row r="24" ht="42" customHeight="1">
      <x:c r="A24" s="10" t="str">
        <x:v>shanghai-stats</x:v>
      </x:c>
      <x:c r="B24" s="10" t="str">
        <x:v>上海市2025统计公报</x:v>
      </x:c>
      <x:c r="C24" s="10" t="str">
        <x:v>A 官方统计</x:v>
      </x:c>
      <x:c r="D24" s="10" t="str">
        <x:v>上海市</x:v>
      </x:c>
      <x:c r="E24" s="10" t="str">
        <x:v>年度</x:v>
      </x:c>
      <x:c r="F24" s="10" t="str">
        <x:v>部分采集</x:v>
      </x:c>
      <x:c r="G24" s="10" t="str">
        <x:v>web-assisted</x:v>
      </x:c>
      <x:c r="H24" s="10" t="str">
        <x:v>2026-09-28</x:v>
      </x:c>
      <x:c r="I24" s="10" t="str">
        <x:v>https://tjj.sh.gov.cn/tjgb/20260330/e0772941e8e041eaaad2df850b44ef98.html</x:v>
      </x:c>
      <x:c r="J24" s="10" t="str">
        <x:v>房屋建筑企业全国工程竣工面积不可替代本市住宅竣工面积。</x:v>
      </x:c>
    </x:row>
    <x:row r="25" ht="42" customHeight="1">
      <x:c r="A25" s="11" t="str">
        <x:v>ons</x:v>
      </x:c>
      <x:c r="B25" s="11" t="str">
        <x:v>ONS 英国租金与房价2026年9月公报</x:v>
      </x:c>
      <x:c r="C25" s="11" t="str">
        <x:v>A 官方统计</x:v>
      </x:c>
      <x:c r="D25" s="11" t="str">
        <x:v>大伦敦</x:v>
      </x:c>
      <x:c r="E25" s="11" t="str">
        <x:v>月度</x:v>
      </x:c>
      <x:c r="F25" s="11" t="str">
        <x:v>已采集</x:v>
      </x:c>
      <x:c r="G25" s="11" t="str">
        <x:v>web-assisted</x:v>
      </x:c>
      <x:c r="H25" s="11" t="str">
        <x:v>2026-09-28</x:v>
      </x:c>
      <x:c r="I25" s="11" t="str">
        <x:v>https://www.ons.gov.uk/economy/inflationandpriceindices/bulletins/privaterentandhousepricesuk/september2026</x:v>
      </x:c>
      <x:c r="J25" s="11" t="str">
        <x:v>房价2026-07；租金2026-08；均为暂定/可修订数据。</x:v>
      </x:c>
    </x:row>
    <x:row r="26" ht="42" customHeight="1">
      <x:c r="A26" s="10" t="str">
        <x:v>insee-vacancy</x:v>
      </x:c>
      <x:c r="B26" s="10" t="str">
        <x:v>INSEE 巴黎75省比较表</x:v>
      </x:c>
      <x:c r="C26" s="10" t="str">
        <x:v>A 官方统计</x:v>
      </x:c>
      <x:c r="D26" s="10" t="str">
        <x:v>巴黎市/75省</x:v>
      </x:c>
      <x:c r="E26" s="10" t="str">
        <x:v>年度</x:v>
      </x:c>
      <x:c r="F26" s="10" t="str">
        <x:v>已采集</x:v>
      </x:c>
      <x:c r="G26" s="10" t="str">
        <x:v>web-assisted</x:v>
      </x:c>
      <x:c r="H26" s="10" t="str">
        <x:v>2026-09-28</x:v>
      </x:c>
      <x:c r="I26" s="10" t="str">
        <x:v>https://www.insee.fr/fr/statistiques/1405599?geo=DEP-75+FRANCE-1</x:v>
      </x:c>
      <x:c r="J26" s="10" t="str">
        <x:v>2023普查；排除第二居所的总体空置。人口增速是2017-2023年均，不是单年同比。</x:v>
      </x:c>
    </x:row>
    <x:row r="27" ht="42" customHeight="1">
      <x:c r="A27" s="11" t="str">
        <x:v>insee-price</x:v>
      </x:c>
      <x:c r="B27" s="11" t="str">
        <x:v>INSEE 巴黎旧公寓价格指数010567012</x:v>
      </x:c>
      <x:c r="C27" s="11" t="str">
        <x:v>A 官方统计</x:v>
      </x:c>
      <x:c r="D27" s="11" t="str">
        <x:v>巴黎市</x:v>
      </x:c>
      <x:c r="E27" s="11" t="str">
        <x:v>季度</x:v>
      </x:c>
      <x:c r="F27" s="11" t="str">
        <x:v>已采集</x:v>
      </x:c>
      <x:c r="G27" s="11" t="str">
        <x:v>web-assisted</x:v>
      </x:c>
      <x:c r="H27" s="11" t="str">
        <x:v>2026-09-28</x:v>
      </x:c>
      <x:c r="I27" s="11" t="str">
        <x:v>https://www.insee.fr/fr/statistiques/serie/010567012</x:v>
      </x:c>
      <x:c r="J27" s="11" t="str">
        <x:v>2026Q1暂定120.8，2025Q1 119.6，2015=100，非季调。</x:v>
      </x:c>
    </x:row>
    <x:row r="28" ht="42" customHeight="1">
      <x:c r="A28" s="10" t="str">
        <x:v>cbs-price</x:v>
      </x:c>
      <x:c r="B28" s="10" t="str">
        <x:v>CBS 荷兰2026Q2市级二手住房价格</x:v>
      </x:c>
      <x:c r="C28" s="10" t="str">
        <x:v>A 官方统计</x:v>
      </x:c>
      <x:c r="D28" s="10" t="str">
        <x:v>阿姆斯特丹</x:v>
      </x:c>
      <x:c r="E28" s="10" t="str">
        <x:v>季度</x:v>
      </x:c>
      <x:c r="F28" s="10" t="str">
        <x:v>来源冲突</x:v>
      </x:c>
      <x:c r="G28" s="10" t="str">
        <x:v>web-assisted</x:v>
      </x:c>
      <x:c r="H28" s="10" t="str">
        <x:v>2026-09-28</x:v>
      </x:c>
      <x:c r="I28" s="10" t="str">
        <x:v>https://www.cbs.nl/nl-nl/nieuws/2026/33/in-6-gemeenten-daalden-prijzen-bestaande-koopwoningen</x:v>
      </x:c>
      <x:c r="J28" s="10" t="str">
        <x:v>新闻表0.1%，同季85792ENG数据页0.8%；主表暂不选入，等待修订口径核实。</x:v>
      </x:c>
    </x:row>
    <x:row r="29" ht="42" customHeight="1">
      <x:c r="A29" s="11" t="str">
        <x:v>cbs-table</x:v>
      </x:c>
      <x:c r="B29" s="11" t="str">
        <x:v>CBS 85792ENG 区域房价数据表</x:v>
      </x:c>
      <x:c r="C29" s="11" t="str">
        <x:v>A 官方统计</x:v>
      </x:c>
      <x:c r="D29" s="11" t="str">
        <x:v>阿姆斯特丹</x:v>
      </x:c>
      <x:c r="E29" s="11" t="str">
        <x:v>季度</x:v>
      </x:c>
      <x:c r="F29" s="11" t="str">
        <x:v>来源冲突</x:v>
      </x:c>
      <x:c r="G29" s="11" t="str">
        <x:v>web-assisted</x:v>
      </x:c>
      <x:c r="H29" s="11" t="str">
        <x:v>2026-09-28</x:v>
      </x:c>
      <x:c r="I29" s="11" t="str">
        <x:v>https://www.cbs.nl/en-gb/figures/detail/85792ENG?q=keyword%3Ahousing+market</x:v>
      </x:c>
      <x:c r="J29" s="11" t="str">
        <x:v>同季度与新闻表不同，两个版本都保留。</x:v>
      </x:c>
    </x:row>
    <x:row r="30" ht="42" customHeight="1">
      <x:c r="A30" s="10" t="str">
        <x:v>amsterdam-pop</x:v>
      </x:c>
      <x:c r="B30" s="10" t="str">
        <x:v>阿姆斯特丹O&amp;S：人口及预测</x:v>
      </x:c>
      <x:c r="C30" s="10" t="str">
        <x:v>A 官方统计</x:v>
      </x:c>
      <x:c r="D30" s="10" t="str">
        <x:v>阿姆斯特丹</x:v>
      </x:c>
      <x:c r="E30" s="10" t="str">
        <x:v>年度</x:v>
      </x:c>
      <x:c r="F30" s="10" t="str">
        <x:v>已采集</x:v>
      </x:c>
      <x:c r="G30" s="10" t="str">
        <x:v>web-assisted</x:v>
      </x:c>
      <x:c r="H30" s="10" t="str">
        <x:v>2026-09-28</x:v>
      </x:c>
      <x:c r="I30" s="10" t="str">
        <x:v>https://onderzoek.amsterdam.nl/artikel/bevolkingsprognose-2026-2055</x:v>
      </x:c>
      <x:c r="J30" s="10" t="str">
        <x:v>仅采用已发生的2025人口数据；不把2055预测当实际。2025增量约7500为舍入数。</x:v>
      </x:c>
    </x:row>
    <x:row r="31" ht="42" customHeight="1">
      <x:c r="A31" s="11" t="str">
        <x:v>ine-price</x:v>
      </x:c>
      <x:c r="B31" s="11" t="str">
        <x:v>西班牙INE城市指标2025版</x:v>
      </x:c>
      <x:c r="C31" s="11" t="str">
        <x:v>A 官方统计</x:v>
      </x:c>
      <x:c r="D31" s="11" t="str">
        <x:v>马德里/巴塞罗那</x:v>
      </x:c>
      <x:c r="E31" s="11" t="str">
        <x:v>年度</x:v>
      </x:c>
      <x:c r="F31" s="11" t="str">
        <x:v>已采集</x:v>
      </x:c>
      <x:c r="G31" s="11" t="str">
        <x:v>web-assisted</x:v>
      </x:c>
      <x:c r="H31" s="11" t="str">
        <x:v>2026-09-28</x:v>
      </x:c>
      <x:c r="I31" s="11" t="str">
        <x:v>https://www.ine.es/dyngs/Prensa/UA2025.htm</x:v>
      </x:c>
      <x:c r="J31" s="11" t="str">
        <x:v>2024房价水平，欧元/平方米；不能替代2026房价。</x:v>
      </x:c>
    </x:row>
    <x:row r="32" ht="42" customHeight="1">
      <x:c r="A32" s="10" t="str">
        <x:v>madrid-pop</x:v>
      </x:c>
      <x:c r="B32" s="10" t="str">
        <x:v>马德里市：2025人口登记变动</x:v>
      </x:c>
      <x:c r="C32" s="10" t="str">
        <x:v>A 官方统计</x:v>
      </x:c>
      <x:c r="D32" s="10" t="str">
        <x:v>马德里市</x:v>
      </x:c>
      <x:c r="E32" s="10" t="str">
        <x:v>年度</x:v>
      </x:c>
      <x:c r="F32" s="10" t="str">
        <x:v>已采集</x:v>
      </x:c>
      <x:c r="G32" s="10" t="str">
        <x:v>web-assisted</x:v>
      </x:c>
      <x:c r="H32" s="10" t="str">
        <x:v>2026-09-28</x:v>
      </x:c>
      <x:c r="I32" s="10" t="str">
        <x:v>https://www.madrid.es/portales/munimadrid/es/Inicio/Actualidad/Noticias/Los-nacimientos-superaron-a-las-defunciones-en-564-personas-en-2025-un-crecimiento-vegetativo-que-no-se-producia-en-Madrid-desde-hacia-seis-anos/?vgnextchannel=a12149fa40ec9410VgnVCM100000171f5a0aRCRD&amp;vgnextfmt=default&amp;vgnextoid=81bdd56de9ddd910VgnVCM100000891ecb1aRCRD</x:v>
      </x:c>
      <x:c r="J32" s="10" t="str">
        <x:v>国内-37,957、国际+106,117；行政清理-99,375单列，不能用登记人口下降替代净迁移。</x:v>
      </x:c>
    </x:row>
    <x:row r="33" ht="42" customHeight="1">
      <x:c r="A33" s="11" t="str">
        <x:v>barcelona-pop</x:v>
      </x:c>
      <x:c r="B33" s="11" t="str">
        <x:v>巴塞罗那市：2025人口流动</x:v>
      </x:c>
      <x:c r="C33" s="11" t="str">
        <x:v>A 官方统计</x:v>
      </x:c>
      <x:c r="D33" s="11" t="str">
        <x:v>巴塞罗那市</x:v>
      </x:c>
      <x:c r="E33" s="11" t="str">
        <x:v>年度</x:v>
      </x:c>
      <x:c r="F33" s="11" t="str">
        <x:v>索引摘要已采集</x:v>
      </x:c>
      <x:c r="G33" s="11" t="str">
        <x:v>web-assisted</x:v>
      </x:c>
      <x:c r="H33" s="11" t="str">
        <x:v>2026-09-28</x:v>
      </x:c>
      <x:c r="I33" s="11" t="str">
        <x:v>https://dades.ajuntament.barcelona.cat/informe-padro-poblacio/es/seccio_6.html</x:v>
      </x:c>
      <x:c r="J33" s="11" t="str">
        <x:v>净迁移+55,057；行政调整-43,674另外记录。直连页面过大。</x:v>
      </x:c>
    </x:row>
    <x:row r="34" ht="42" customHeight="1">
      <x:c r="A34" s="10" t="str">
        <x:v>vienna-pop</x:v>
      </x:c>
      <x:c r="B34" s="10" t="str">
        <x:v>维也纳市人口统计</x:v>
      </x:c>
      <x:c r="C34" s="10" t="str">
        <x:v>A 官方统计</x:v>
      </x:c>
      <x:c r="D34" s="10" t="str">
        <x:v>维也纳市</x:v>
      </x:c>
      <x:c r="E34" s="10" t="str">
        <x:v>年度</x:v>
      </x:c>
      <x:c r="F34" s="10" t="str">
        <x:v>已采集</x:v>
      </x:c>
      <x:c r="G34" s="10" t="str">
        <x:v>web-assisted</x:v>
      </x:c>
      <x:c r="H34" s="10" t="str">
        <x:v>2026-09-28</x:v>
      </x:c>
      <x:c r="I34" s="10" t="str">
        <x:v>https://www.wien.gv.at/statistik/bevoelkerungsstand</x:v>
      </x:c>
      <x:c r="J34" s="10" t="str"/>
    </x:row>
    <x:row r="35" ht="42" customHeight="1">
      <x:c r="A35" s="11" t="str">
        <x:v>zurich-vacancy</x:v>
      </x:c>
      <x:c r="B35" s="11" t="str">
        <x:v>苏黎世市2026空置住房统计</x:v>
      </x:c>
      <x:c r="C35" s="11" t="str">
        <x:v>A 官方统计</x:v>
      </x:c>
      <x:c r="D35" s="11" t="str">
        <x:v>苏黎世市</x:v>
      </x:c>
      <x:c r="E35" s="11" t="str">
        <x:v>年度</x:v>
      </x:c>
      <x:c r="F35" s="11" t="str">
        <x:v>已采集</x:v>
      </x:c>
      <x:c r="G35" s="11" t="str">
        <x:v>web-assisted</x:v>
      </x:c>
      <x:c r="H35" s="11" t="str">
        <x:v>2026-09-28</x:v>
      </x:c>
      <x:c r="I35" s="11" t="str">
        <x:v>https://www.stadt-zuerich.ch/de/aktuell/medienmitteilungen/2026/08/leichter-anstieg-252-leerwohnungen-in-zuerich.html</x:v>
      </x:c>
      <x:c r="J35" s="11" t="str">
        <x:v>2026-06-01可租售空房占总住房0.11%，非总体无人居住率。</x:v>
      </x:c>
    </x:row>
    <x:row r="36" ht="42" customHeight="1">
      <x:c r="A36" s="10" t="str">
        <x:v>ecb-rate</x:v>
      </x:c>
      <x:c r="B36" s="10" t="str">
        <x:v>ECB 2026年7月购房贷款利率</x:v>
      </x:c>
      <x:c r="C36" s="10" t="str">
        <x:v>A 官方统计</x:v>
      </x:c>
      <x:c r="D36" s="10" t="str">
        <x:v>欧元区</x:v>
      </x:c>
      <x:c r="E36" s="10" t="str">
        <x:v>月度</x:v>
      </x:c>
      <x:c r="F36" s="10" t="str">
        <x:v>已采集</x:v>
      </x:c>
      <x:c r="G36" s="10" t="str">
        <x:v>web-assisted</x:v>
      </x:c>
      <x:c r="H36" s="10" t="str">
        <x:v>2026-09-28</x:v>
      </x:c>
      <x:c r="I36" s="10" t="str">
        <x:v>https://www.ecb.europa.eu/press/stats/mfi/html/ecb.mir260902~d54675e442.et.html</x:v>
      </x:c>
      <x:c r="J36" s="10" t="str">
        <x:v>复合新增住房贷款成本3.54%，用于区域融资背景，不是某国或某借款人报价。</x:v>
      </x:c>
    </x:row>
    <x:row r="37" ht="42" customHeight="1">
      <x:c r="A37" s="11" t="str">
        <x:v>freddie-rate</x:v>
      </x:c>
      <x:c r="B37" s="11" t="str">
        <x:v>Freddie Mac PMMS</x:v>
      </x:c>
      <x:c r="C37" s="11" t="str">
        <x:v>B 一手贷款调查</x:v>
      </x:c>
      <x:c r="D37" s="11" t="str">
        <x:v>美国</x:v>
      </x:c>
      <x:c r="E37" s="11" t="str">
        <x:v>周度</x:v>
      </x:c>
      <x:c r="F37" s="11" t="str">
        <x:v>已采集</x:v>
      </x:c>
      <x:c r="G37" s="11" t="str">
        <x:v>web-assisted</x:v>
      </x:c>
      <x:c r="H37" s="11" t="str">
        <x:v>2026-09-28</x:v>
      </x:c>
      <x:c r="I37" s="11" t="str">
        <x:v>https://www.freddiemac.com/pmms</x:v>
      </x:c>
      <x:c r="J37" s="11" t="str">
        <x:v>全国30年固定按揭平均7.03%，2026-09-24；非城市/个人报价。</x:v>
      </x:c>
    </x:row>
    <x:row r="38" ht="42" customHeight="1">
      <x:c r="A38" s="10" t="str">
        <x:v>frankfurt-portal</x:v>
      </x:c>
      <x:c r="B38" s="10" t="str">
        <x:v>法兰克福市统计</x:v>
      </x:c>
      <x:c r="C38" s="10" t="str">
        <x:v>A 官方统计</x:v>
      </x:c>
      <x:c r="D38" s="10" t="str">
        <x:v>法兰克福</x:v>
      </x:c>
      <x:c r="E38" s="10" t="str">
        <x:v>年度/季度</x:v>
      </x:c>
      <x:c r="F38" s="10" t="str">
        <x:v>待定位具体数据表</x:v>
      </x:c>
      <x:c r="G38" s="10" t="str">
        <x:v>web-assisted</x:v>
      </x:c>
      <x:c r="H38" s="10" t="str">
        <x:v>待采集</x:v>
      </x:c>
      <x:c r="I38" s="10" t="str">
        <x:v>https://frankfurt.de/</x:v>
      </x:c>
      <x:c r="J38" s="10" t="str">
        <x:v>检索 Frankfurt Statistik Jahrbuch Wanderungen Baufertigstellungen。</x:v>
      </x:c>
    </x:row>
    <x:row r="39" ht="42" customHeight="1">
      <x:c r="A39" s="11" t="str">
        <x:v>greix</x:v>
      </x:c>
      <x:c r="B39" s="11" t="str">
        <x:v>GREIX 成交与租金指数</x:v>
      </x:c>
      <x:c r="C39" s="11" t="str">
        <x:v>B 学术交易指数</x:v>
      </x:c>
      <x:c r="D39" s="11" t="str">
        <x:v>德国城市</x:v>
      </x:c>
      <x:c r="E39" s="11" t="str">
        <x:v>季度</x:v>
      </x:c>
      <x:c r="F39" s="11" t="str">
        <x:v>待采集</x:v>
      </x:c>
      <x:c r="G39" s="11" t="str">
        <x:v>web-assisted</x:v>
      </x:c>
      <x:c r="H39" s="11" t="str">
        <x:v>待采集</x:v>
      </x:c>
      <x:c r="I39" s="11" t="str">
        <x:v>https://www.greix.de/</x:v>
      </x:c>
      <x:c r="J39" s="11" t="str">
        <x:v>优先下载城市级成交指数；租金为挂牌租金，不与存量租约混用。</x:v>
      </x:c>
    </x:row>
    <x:row r="40" ht="42" customHeight="1">
      <x:c r="A40" s="10" t="str">
        <x:v>milan-portal</x:v>
      </x:c>
      <x:c r="B40" s="10" t="str">
        <x:v>米兰市统计与意大利ISTAT</x:v>
      </x:c>
      <x:c r="C40" s="10" t="str">
        <x:v>A 官方统计</x:v>
      </x:c>
      <x:c r="D40" s="10" t="str">
        <x:v>米兰</x:v>
      </x:c>
      <x:c r="E40" s="10" t="str">
        <x:v>年度</x:v>
      </x:c>
      <x:c r="F40" s="10" t="str">
        <x:v>待定位具体数据表</x:v>
      </x:c>
      <x:c r="G40" s="10" t="str">
        <x:v>web-assisted</x:v>
      </x:c>
      <x:c r="H40" s="10" t="str">
        <x:v>待采集</x:v>
      </x:c>
      <x:c r="I40" s="10" t="str">
        <x:v>https://www.comune.milano.it/</x:v>
      </x:c>
      <x:c r="J40" s="10" t="str">
        <x:v>检索 Statistica popolazione saldo migratorio；成交与租售数据转 Agenzia Entrate OMI。</x:v>
      </x:c>
    </x:row>
    <x:row r="41" ht="42" customHeight="1">
      <x:c r="A41" s="11" t="str">
        <x:v>china-local</x:v>
      </x:c>
      <x:c r="B41" s="11" t="str">
        <x:v>中国城市统计公报</x:v>
      </x:c>
      <x:c r="C41" s="11" t="str">
        <x:v>A 官方统计</x:v>
      </x:c>
      <x:c r="D41" s="11" t="str">
        <x:v>杭州/成都及中国城市</x:v>
      </x:c>
      <x:c r="E41" s="11" t="str">
        <x:v>年度/月度</x:v>
      </x:c>
      <x:c r="F41" s="11" t="str">
        <x:v>待补齐</x:v>
      </x:c>
      <x:c r="G41" s="11" t="str">
        <x:v>web-assisted</x:v>
      </x:c>
      <x:c r="H41" s="11" t="str">
        <x:v>待采集</x:v>
      </x:c>
      <x:c r="I41" s="11" t="str">
        <x:v>https://www.stats.gov.cn/</x:v>
      </x:c>
      <x:c r="J41" s="11" t="str">
        <x:v>各市统计局核实住宅开工/竣工面积；不能用总人口变动代替净迁入。</x:v>
      </x:c>
    </x:row>
    <x:row r="42" ht="42" customHeight="1">
      <x:c r="A42" s="10" t="str">
        <x:v>beijing-supply-2025</x:v>
      </x:c>
      <x:c r="B42" s="10" t="str">
        <x:v>北京2025房地产开发建设销售</x:v>
      </x:c>
      <x:c r="C42" s="10" t="str">
        <x:v>A 官方统计</x:v>
      </x:c>
      <x:c r="D42" s="10" t="str">
        <x:v>北京市</x:v>
      </x:c>
      <x:c r="E42" s="10" t="str">
        <x:v>月度累计/年度</x:v>
      </x:c>
      <x:c r="F42" s="10" t="str">
        <x:v>已采集</x:v>
      </x:c>
      <x:c r="G42" s="10" t="str">
        <x:v>web-assisted</x:v>
      </x:c>
      <x:c r="H42" s="10" t="str">
        <x:v>2026-09-28</x:v>
      </x:c>
      <x:c r="I42" s="10" t="str">
        <x:v>https://tjj.beijing.gov.cn/zxfbu/202601/t20260121_4451749.html</x:v>
      </x:c>
      <x:c r="J42" s="10" t="str">
        <x:v>住宅口径；累计增速不等于单月增速。竣工面积与套数分列。</x:v>
      </x:c>
    </x:row>
    <x:row r="43" ht="42" customHeight="1">
      <x:c r="A43" s="11" t="str">
        <x:v>beijing-supply-2026</x:v>
      </x:c>
      <x:c r="B43" s="11" t="str">
        <x:v>北京2026年1—8月房地产开发建设销售</x:v>
      </x:c>
      <x:c r="C43" s="11" t="str">
        <x:v>A 官方统计</x:v>
      </x:c>
      <x:c r="D43" s="11" t="str">
        <x:v>北京市</x:v>
      </x:c>
      <x:c r="E43" s="11" t="str">
        <x:v>月度累计/年度</x:v>
      </x:c>
      <x:c r="F43" s="11" t="str">
        <x:v>已采集</x:v>
      </x:c>
      <x:c r="G43" s="11" t="str">
        <x:v>web-assisted</x:v>
      </x:c>
      <x:c r="H43" s="11" t="str">
        <x:v>2026-09-28</x:v>
      </x:c>
      <x:c r="I43" s="11" t="str">
        <x:v>https://tjj.beijing.gov.cn/tjsj_31433/sjjd_31444/202609/t20260916_4865773.html</x:v>
      </x:c>
      <x:c r="J43" s="11" t="str">
        <x:v>住宅口径；累计增速不等于单月增速。竣工面积与套数分列。</x:v>
      </x:c>
    </x:row>
    <x:row r="44" ht="42" customHeight="1">
      <x:c r="A44" s="10" t="str">
        <x:v>shanghai-supply-2025</x:v>
      </x:c>
      <x:c r="B44" s="10" t="str">
        <x:v>上海2025房地产开发经营</x:v>
      </x:c>
      <x:c r="C44" s="10" t="str">
        <x:v>A 官方统计</x:v>
      </x:c>
      <x:c r="D44" s="10" t="str">
        <x:v>上海市</x:v>
      </x:c>
      <x:c r="E44" s="10" t="str">
        <x:v>月度累计/年度</x:v>
      </x:c>
      <x:c r="F44" s="10" t="str">
        <x:v>已采集</x:v>
      </x:c>
      <x:c r="G44" s="10" t="str">
        <x:v>web-assisted</x:v>
      </x:c>
      <x:c r="H44" s="10" t="str">
        <x:v>2026-09-28</x:v>
      </x:c>
      <x:c r="I44" s="10" t="str">
        <x:v>https://tjj.sh.gov.cn/sjxx/20260116/4fc3b7455bef42ebb4579b90eab2d234.html</x:v>
      </x:c>
      <x:c r="J44" s="10" t="str">
        <x:v>住宅口径；累计增速不等于单月增速。竣工面积与套数分列。</x:v>
      </x:c>
    </x:row>
  </x:sheetData>
  <x:mergeCells>
    <x:mergeCell ref="A2:F2"/>
    <x:mergeCell ref="A3:H4"/>
  </x:mergeCells>
  <x:pageMargins left="0.7" right="0.7" top="0.75" bottom="0.75" header="0.3" footer="0.3"/>
  <x:tableParts count="1">
    <x:tablePart xmlns:r="http://schemas.openxmlformats.org/officeDocument/2006/relationships" r:id="R28fb301d1b7f4709"/>
  </x:tableParts>
</x:worksheet>
</file>