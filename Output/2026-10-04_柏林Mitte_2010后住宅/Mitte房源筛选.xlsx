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df1b75c484b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tte候选" sheetId="1" r:id="R7e806c004a9241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#,##0"/>
    <x:numFmt numFmtId="202" formatCode="#,##0.00"/>
    <x:numFmt numFmtId="203" formatCode="0.00%"/>
  </x:numFmts>
  <x:fonts count="5">
    <x:font>
      <x:sz val="11"/>
      <x:name val="Carlito"/>
    </x:font>
    <x:font>
      <x:b/>
      <x:sz val="15"/>
      <x:color rgb="FF17365D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10"/>
      <x:color rgb="FF47556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FF6FF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3" borderId="0" xfId="0" applyNumberFormat="1" applyFont="1" applyFill="1" applyBorder="1"/>
    <x:xf numFmtId="201" fontId="3" fillId="3" borderId="0" xfId="0" applyNumberFormat="1" applyFont="1" applyFill="1" applyBorder="1"/>
    <x:xf numFmtId="203" fontId="3" fillId="3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ed77da28c0455c" /><Relationship Type="http://schemas.openxmlformats.org/officeDocument/2006/relationships/theme" Target="/xl/theme/theme1.xml" Id="Ra28eeab756ea45f2" /><Relationship Type="http://schemas.openxmlformats.org/officeDocument/2006/relationships/sharedStrings" Target="/xl/sharedStrings.xml" Id="Rfc2839444d1444b3" /><Relationship Type="http://schemas.openxmlformats.org/officeDocument/2006/relationships/worksheet" Target="/xl/worksheets/sheet1.xml" Id="R7e806c004a9241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43" hidden="0" customWidth="1"/>
    <x:col min="2" max="2" width="19" hidden="0" customWidth="1"/>
    <x:col min="3" max="3" width="39" hidden="0" customWidth="1"/>
    <x:col min="4" max="4" width="31" hidden="0" customWidth="1"/>
    <x:col min="5" max="5" width="14" hidden="0" customWidth="1"/>
    <x:col min="6" max="6" width="12" hidden="0" customWidth="1"/>
    <x:col min="7" max="7" width="14" hidden="0" customWidth="1"/>
    <x:col min="8" max="8" width="16" hidden="0" customWidth="1"/>
    <x:col min="9" max="9" width="16" hidden="0" customWidth="1"/>
    <x:col min="10" max="10" width="10" hidden="0" customWidth="1"/>
    <x:col min="11" max="11" width="19" hidden="0" customWidth="1"/>
    <x:col min="12" max="12" width="15" hidden="0" customWidth="1"/>
    <x:col min="13" max="13" width="16" hidden="0" customWidth="1"/>
    <x:col min="14" max="14" width="35" hidden="0" customWidth="1"/>
    <x:col min="15" max="15" width="25" hidden="0" customWidth="1"/>
    <x:col min="16" max="16" width="21" hidden="0" customWidth="1"/>
    <x:col min="17" max="17" width="68" hidden="0" customWidth="1"/>
    <x:col min="18" max="18" width="75" hidden="0" customWidth="1"/>
    <x:col min="19" max="19" width="20" hidden="0" customWidth="1"/>
    <x:col min="20" max="20" width="15" hidden="0" customWidth="1"/>
  </x:cols>
  <x:sheetData>
    <x:row r="2">
      <x:c r="A2" s="1" t="str">
        <x:v>柏林 Mitte｜已核实子集（非全量）</x:v>
      </x:c>
    </x:row>
    <x:row r="3">
      <x:c r="A3" s="18" t="str">
        <x:v>行政区 Mitte（含 Mitte、Tiergarten、Moabit 等）；建筑实际建造年 &gt; 2010，居住面积 &gt; 40 m²，不限价格。记录日：2026-10-04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</x:row>
    <x:row r="4">
      <x:c r="A4" s="18" t="str">
        <x:v>覆盖未完成：ImmoScout24 和 Immowelt 的筛选结果未能全部翻页。此表仅列已核实子集；详情见 report.md / coverage.json。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</x:row>
    <x:row r="5">
      <x:c r="A5" s="18" t="str">
        <x:v>统计年</x:v>
      </x:c>
      <x:c r="B5" s="18" t="n">
        <x:v>2026</x:v>
      </x:c>
      <x:c r="C5" s="18" t="str">
        <x:v>Mitte冷租基准 €/m²/月</x:v>
      </x:c>
      <x:c r="D5" s="18" t="n">
        <x:v>20</x:v>
      </x:c>
      <x:c r="E5" s="18" t="str">
        <x:v>租金基准：IBB 2025；非具体房源合法租金</x:v>
      </x:c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</x:row>
    <x:row r="7" ht="30" customHeight="1">
      <x:c r="A7" s="5" t="str">
        <x:v>房源ID</x:v>
      </x:c>
      <x:c r="B7" s="5" t="str">
        <x:v>街区</x:v>
      </x:c>
      <x:c r="C7" s="5" t="str">
        <x:v>位置</x:v>
      </x:c>
      <x:c r="D7" s="5" t="str">
        <x:v>项目/简述</x:v>
      </x:c>
      <x:c r="E7" s="5" t="str">
        <x:v>建造年</x:v>
      </x:c>
      <x:c r="F7" s="5" t="str">
        <x:v>房龄 年</x:v>
      </x:c>
      <x:c r="G7" s="5" t="str">
        <x:v>面积 m²</x:v>
      </x:c>
      <x:c r="H7" s="5" t="str">
        <x:v>挂牌价 €</x:v>
      </x:c>
      <x:c r="I7" s="5" t="str">
        <x:v>单价 €/m²</x:v>
      </x:c>
      <x:c r="J7" s="5" t="str">
        <x:v>房间</x:v>
      </x:c>
      <x:c r="K7" s="5" t="str">
        <x:v>Hausgeld €/月</x:v>
      </x:c>
      <x:c r="L7" s="5" t="str">
        <x:v>买方佣金</x:v>
      </x:c>
      <x:c r="M7" s="5" t="str">
        <x:v>车位另付 €</x:v>
      </x:c>
      <x:c r="N7" s="5" t="str">
        <x:v>车位条件</x:v>
      </x:c>
      <x:c r="O7" s="5" t="str">
        <x:v>占用/交付</x:v>
      </x:c>
      <x:c r="P7" s="5" t="str">
        <x:v>年毛租售比情景</x:v>
      </x:c>
      <x:c r="Q7" s="5" t="str">
        <x:v>房源链接</x:v>
      </x:c>
      <x:c r="R7" s="5" t="str">
        <x:v>待核事项</x:v>
      </x:c>
      <x:c r="S7" s="5" t="str">
        <x:v>平台</x:v>
      </x:c>
      <x:c r="T7" s="5" t="str">
        <x:v>记录日</x:v>
      </x:c>
    </x:row>
    <x:row r="8">
      <x:c r="A8" s="10" t="str">
        <x:v>IW-86a46727-c293-4cce-899b-52f5233d0181</x:v>
      </x:c>
      <x:c r="B8" s="10" t="str">
        <x:v>Mitte</x:v>
      </x:c>
      <x:c r="C8" s="10" t="str">
        <x:v>Berolinastraße附近，10178</x:v>
      </x:c>
      <x:c r="D8" s="10" t="str">
        <x:v>Alexanderplatz附近2房</x:v>
      </x:c>
      <x:c r="E8" s="10" t="n">
        <x:v>2017</x:v>
      </x:c>
      <x:c r="F8" s="15" t="n">
        <x:f>$B$5-E8</x:f>
        <x:v>9</x:v>
      </x:c>
      <x:c r="G8" s="11" t="n">
        <x:v>53</x:v>
      </x:c>
      <x:c r="H8" s="12" t="n">
        <x:v>375000</x:v>
      </x:c>
      <x:c r="I8" s="16" t="n">
        <x:f>H8/G8</x:f>
        <x:v>7075.471698113208</x:v>
      </x:c>
      <x:c r="J8" s="10" t="n">
        <x:v>2</x:v>
      </x:c>
      <x:c r="K8" s="13" t="n">
        <x:v>240</x:v>
      </x:c>
      <x:c r="L8" s="14" t="n">
        <x:v>0.035699999999999996</x:v>
      </x:c>
      <x:c r="M8" s="12"/>
      <x:c r="N8" s="10" t="str">
        <x:v>未注明</x:v>
      </x:c>
      <x:c r="O8" s="10" t="str">
        <x:v>待核</x:v>
      </x:c>
      <x:c r="P8" s="17" t="n">
        <x:f>G8*$D$5*12/H8</x:f>
        <x:v>0.03392</x:v>
      </x:c>
      <x:c r="Q8" s="10" t="str">
        <x:v>https://www.immowelt.de/expose/86a46727-c293-4cce-899b-52f5233d0181</x:v>
      </x:c>
      <x:c r="R8" s="10" t="str">
        <x:v>广告含 seniorengerechtes Wohnen，需核对是否有入住/产权限制；具体门牌未公开。</x:v>
      </x:c>
      <x:c r="S8" s="10" t="str">
        <x:v>Immowelt</x:v>
      </x:c>
      <x:c r="T8" s="10" t="str">
        <x:v>2026-10-04</x:v>
      </x:c>
    </x:row>
    <x:row r="9">
      <x:c r="A9" s="10" t="str">
        <x:v>IW-b5c964ae-0c80-45e3-9d98-19bfe01c9517</x:v>
      </x:c>
      <x:c r="B9" s="10" t="str">
        <x:v>Tiergarten</x:v>
      </x:c>
      <x:c r="C9" s="10" t="str">
        <x:v>Flottwellstraße 29，10785</x:v>
      </x:c>
      <x:c r="D9" s="10" t="str">
        <x:v>Flottwell Living</x:v>
      </x:c>
      <x:c r="E9" s="10" t="n">
        <x:v>2015</x:v>
      </x:c>
      <x:c r="F9" s="15" t="n">
        <x:f>$B$5-E9</x:f>
        <x:v>11</x:v>
      </x:c>
      <x:c r="G9" s="11" t="n">
        <x:v>58.11</x:v>
      </x:c>
      <x:c r="H9" s="12" t="n">
        <x:v>420000</x:v>
      </x:c>
      <x:c r="I9" s="16" t="n">
        <x:f>H9/G9</x:f>
        <x:v>7227.671657201859</x:v>
      </x:c>
      <x:c r="J9" s="10" t="n">
        <x:v>2</x:v>
      </x:c>
      <x:c r="K9" s="13" t="n">
        <x:v>262</x:v>
      </x:c>
      <x:c r="L9" s="14" t="n">
        <x:v>0.035699999999999996</x:v>
      </x:c>
      <x:c r="M9" s="12"/>
      <x:c r="N9" s="10" t="str">
        <x:v>未注明</x:v>
      </x:c>
      <x:c r="O9" s="10" t="str">
        <x:v>页面称可腾空</x:v>
      </x:c>
      <x:c r="P9" s="17" t="n">
        <x:f>G9*$D$5*12/H9</x:f>
        <x:v>0.03320571428571429</x:v>
      </x:c>
      <x:c r="Q9" s="10" t="str">
        <x:v>https://www.immowelt.de/expose/b5c964ae-0c80-45e3-9d98-19bfe01c9517</x:v>
      </x:c>
      <x:c r="R9" s="10" t="str">
        <x:v>本地库旧记录本轮复核；一楼带花园；网页注明部分照片经AI处理。</x:v>
      </x:c>
      <x:c r="S9" s="10" t="str">
        <x:v>Immowelt</x:v>
      </x:c>
      <x:c r="T9" s="10" t="str">
        <x:v>2026-10-04</x:v>
      </x:c>
    </x:row>
    <x:row r="10">
      <x:c r="A10" s="10" t="str">
        <x:v>IS24-165755246</x:v>
      </x:c>
      <x:c r="B10" s="10" t="str">
        <x:v>Tiergarten</x:v>
      </x:c>
      <x:c r="C10" s="10" t="str">
        <x:v>Von-der-Heydt-Straße 1，10785</x:v>
      </x:c>
      <x:c r="D10" s="10" t="str">
        <x:v>私人出售2房</x:v>
      </x:c>
      <x:c r="E10" s="10" t="n">
        <x:v>2015</x:v>
      </x:c>
      <x:c r="F10" s="15" t="n">
        <x:f>$B$5-E10</x:f>
        <x:v>11</x:v>
      </x:c>
      <x:c r="G10" s="11" t="n">
        <x:v>55</x:v>
      </x:c>
      <x:c r="H10" s="12" t="n">
        <x:v>560000</x:v>
      </x:c>
      <x:c r="I10" s="16" t="n">
        <x:f>H10/G10</x:f>
        <x:v>10181.818181818182</x:v>
      </x:c>
      <x:c r="J10" s="10" t="n">
        <x:v>2</x:v>
      </x:c>
      <x:c r="K10" s="13" t="n">
        <x:v>370</x:v>
      </x:c>
      <x:c r="L10" s="14" t="n">
        <x:v>0</x:v>
      </x:c>
      <x:c r="M10" s="12" t="n">
        <x:v>50000</x:v>
      </x:c>
      <x:c r="N10" s="10" t="str">
        <x:v>随房出售，另付€50,000</x:v>
      </x:c>
      <x:c r="O10" s="10" t="str">
        <x:v>待核</x:v>
      </x:c>
      <x:c r="P10" s="17" t="n">
        <x:f>G10*$D$5*12/H10</x:f>
        <x:v>0.023571428571428573</x:v>
      </x:c>
      <x:c r="Q10" s="10" t="str">
        <x:v>https://www.immobilienscout24.de/expose/165755246</x:v>
      </x:c>
      <x:c r="R10" s="10" t="str">
        <x:v>实际最低挂牌组合约€610,000，住宅单价仍按€560,000计算；无买方中介费。</x:v>
      </x:c>
      <x:c r="S10" s="10" t="str">
        <x:v>ImmoScout24</x:v>
      </x:c>
      <x:c r="T10" s="10" t="str">
        <x:v>2026-10-04</x:v>
      </x:c>
    </x:row>
    <x:row r="11">
      <x:c r="A11" s="10" t="str">
        <x:v>IS24-166190594</x:v>
      </x:c>
      <x:c r="B11" s="10" t="str">
        <x:v>Mitte</x:v>
      </x:c>
      <x:c r="C11" s="10" t="str">
        <x:v>10179，具体门牌未公开</x:v>
      </x:c>
      <x:c r="D11" s="10" t="str">
        <x:v>Spree附近3房</x:v>
      </x:c>
      <x:c r="E11" s="10" t="n">
        <x:v>2017</x:v>
      </x:c>
      <x:c r="F11" s="15" t="n">
        <x:f>$B$5-E11</x:f>
        <x:v>9</x:v>
      </x:c>
      <x:c r="G11" s="11" t="n">
        <x:v>87</x:v>
      </x:c>
      <x:c r="H11" s="12" t="n">
        <x:v>650000</x:v>
      </x:c>
      <x:c r="I11" s="16" t="n">
        <x:f>H11/G11</x:f>
        <x:v>7471.264367816092</x:v>
      </x:c>
      <x:c r="J11" s="10" t="n">
        <x:v>3</x:v>
      </x:c>
      <x:c r="K11" s="13"/>
      <x:c r="L11" s="14" t="n">
        <x:v>0.035699999999999996</x:v>
      </x:c>
      <x:c r="M11" s="12"/>
      <x:c r="N11" s="10" t="str">
        <x:v>未注明</x:v>
      </x:c>
      <x:c r="O11" s="10" t="str">
        <x:v>待核</x:v>
      </x:c>
      <x:c r="P11" s="17" t="n">
        <x:f>G11*$D$5*12/H11</x:f>
        <x:v>0.03212307692307692</x:v>
      </x:c>
      <x:c r="Q11" s="10" t="str">
        <x:v>https://www.immobilienscout24.de/expose/166190594</x:v>
      </x:c>
      <x:c r="R11" s="10" t="str">
        <x:v>页面称可通往Spree；实际通行权、费用与租赁状态待核。</x:v>
      </x:c>
      <x:c r="S11" s="10" t="str">
        <x:v>ImmoScout24</x:v>
      </x:c>
      <x:c r="T11" s="10" t="str">
        <x:v>2026-10-04</x:v>
      </x:c>
    </x:row>
    <x:row r="12">
      <x:c r="A12" s="10" t="str">
        <x:v>IW-df08eec7-a606-4820-aa1c-eeb594850c99</x:v>
      </x:c>
      <x:c r="B12" s="10" t="str">
        <x:v>Mitte</x:v>
      </x:c>
      <x:c r="C12" s="10" t="str">
        <x:v>KunstCampus/Europacity，10557</x:v>
      </x:c>
      <x:c r="D12" s="10" t="str">
        <x:v>KunstCampus 2房</x:v>
      </x:c>
      <x:c r="E12" s="10" t="n">
        <x:v>2017</x:v>
      </x:c>
      <x:c r="F12" s="15" t="n">
        <x:f>$B$5-E12</x:f>
        <x:v>9</x:v>
      </x:c>
      <x:c r="G12" s="11" t="n">
        <x:v>68</x:v>
      </x:c>
      <x:c r="H12" s="12" t="n">
        <x:v>650000</x:v>
      </x:c>
      <x:c r="I12" s="16" t="n">
        <x:f>H12/G12</x:f>
        <x:v>9558.823529411764</x:v>
      </x:c>
      <x:c r="J12" s="10" t="n">
        <x:v>2</x:v>
      </x:c>
      <x:c r="K12" s="13" t="n">
        <x:v>499</x:v>
      </x:c>
      <x:c r="L12" s="14" t="n">
        <x:v>0.035699999999999996</x:v>
      </x:c>
      <x:c r="M12" s="12"/>
      <x:c r="N12" s="10" t="str">
        <x:v>未注明</x:v>
      </x:c>
      <x:c r="O12" s="10" t="str">
        <x:v>页面称立即可用</x:v>
      </x:c>
      <x:c r="P12" s="17" t="n">
        <x:f>G12*$D$5*12/H12</x:f>
        <x:v>0.025107692307692307</x:v>
      </x:c>
      <x:c r="Q12" s="10" t="str">
        <x:v>https://www.immowelt.de/expose/df08eec7-a606-4820-aa1c-eeb594850c99</x:v>
      </x:c>
      <x:c r="R12" s="10" t="str">
        <x:v>位置按页面标注为Mitte；€499/月Hausgeld偏高，需核对不可转嫁部分。</x:v>
      </x:c>
      <x:c r="S12" s="10" t="str">
        <x:v>Immowelt</x:v>
      </x:c>
      <x:c r="T12" s="10" t="str">
        <x:v>2026-10-04</x:v>
      </x:c>
    </x:row>
    <x:row r="13">
      <x:c r="A13" s="10" t="str">
        <x:v>IW-9d380062-e048-40d6-82b9-f7fdadb3f834</x:v>
      </x:c>
      <x:c r="B13" s="10" t="str">
        <x:v>Tiergarten</x:v>
      </x:c>
      <x:c r="C13" s="10" t="str">
        <x:v>HEYDT EINS/使馆区，10785</x:v>
      </x:c>
      <x:c r="D13" s="10" t="str">
        <x:v>HEYDT EINS 2房</x:v>
      </x:c>
      <x:c r="E13" s="10" t="n">
        <x:v>2015</x:v>
      </x:c>
      <x:c r="F13" s="15" t="n">
        <x:f>$B$5-E13</x:f>
        <x:v>11</x:v>
      </x:c>
      <x:c r="G13" s="11" t="n">
        <x:v>72.27</x:v>
      </x:c>
      <x:c r="H13" s="12" t="n">
        <x:v>669000</x:v>
      </x:c>
      <x:c r="I13" s="16" t="n">
        <x:f>H13/G13</x:f>
        <x:v>9256.95309256953</x:v>
      </x:c>
      <x:c r="J13" s="10" t="n">
        <x:v>2</x:v>
      </x:c>
      <x:c r="K13" s="13"/>
      <x:c r="L13" s="14" t="n">
        <x:v>0.035699999999999996</x:v>
      </x:c>
      <x:c r="M13" s="12" t="n">
        <x:v>40000</x:v>
      </x:c>
      <x:c r="N13" s="10" t="str">
        <x:v>可选车位，另付€40,000</x:v>
      </x:c>
      <x:c r="O13" s="10" t="str">
        <x:v>页面称出租至2026-10</x:v>
      </x:c>
      <x:c r="P13" s="17" t="n">
        <x:f>G13*$D$5*12/H13</x:f>
        <x:v>0.02592645739910314</x:v>
      </x:c>
      <x:c r="Q13" s="10" t="str">
        <x:v>https://www.immowelt.de/expose/9d380062-e048-40d6-82b9-f7fdadb3f834</x:v>
      </x:c>
      <x:c r="R13" s="10" t="str">
        <x:v>租约到期/腾退须核实，不能仅凭页面日期认定现在已空置。</x:v>
      </x:c>
      <x:c r="S13" s="10" t="str">
        <x:v>Immowelt</x:v>
      </x:c>
      <x:c r="T13" s="10" t="str">
        <x:v>2026-10-04</x:v>
      </x:c>
    </x:row>
    <x:row r="14">
      <x:c r="A14" s="10" t="str">
        <x:v>IW-347a5382-994c-4169-b70c-03f08485fe59</x:v>
      </x:c>
      <x:c r="B14" s="10" t="str">
        <x:v>Mitte</x:v>
      </x:c>
      <x:c r="C14" s="10" t="str">
        <x:v>PANDION FIRST/Spittelmarkt，10117</x:v>
      </x:c>
      <x:c r="D14" s="10" t="str">
        <x:v>PANDION FIRST 3房</x:v>
      </x:c>
      <x:c r="E14" s="10" t="n">
        <x:v>2017</x:v>
      </x:c>
      <x:c r="F14" s="15" t="n">
        <x:f>$B$5-E14</x:f>
        <x:v>9</x:v>
      </x:c>
      <x:c r="G14" s="11" t="n">
        <x:v>102</x:v>
      </x:c>
      <x:c r="H14" s="12" t="n">
        <x:v>930000</x:v>
      </x:c>
      <x:c r="I14" s="16" t="n">
        <x:f>H14/G14</x:f>
        <x:v>9117.64705882353</x:v>
      </x:c>
      <x:c r="J14" s="10" t="n">
        <x:v>3</x:v>
      </x:c>
      <x:c r="K14" s="13" t="n">
        <x:v>350.47</x:v>
      </x:c>
      <x:c r="L14" s="14" t="n">
        <x:v>0.035699999999999996</x:v>
      </x:c>
      <x:c r="M14" s="12" t="n">
        <x:v>55000</x:v>
      </x:c>
      <x:c r="N14" s="10" t="str">
        <x:v>车位另付€55,000，是否必须待核</x:v>
      </x:c>
      <x:c r="O14" s="10" t="str">
        <x:v>待核</x:v>
      </x:c>
      <x:c r="P14" s="17" t="n">
        <x:f>G14*$D$5*12/H14</x:f>
        <x:v>0.02632258064516129</x:v>
      </x:c>
      <x:c r="Q14" s="10" t="str">
        <x:v>https://www.immowelt.de/expose/347a5382-994c-4169-b70c-03f08485fe59</x:v>
      </x:c>
      <x:c r="R14" s="10" t="str">
        <x:v>搜索摘要曾为€985,000，打开页面现为€930,000；页面正文约100㎡而数据栏102㎡，面积口径待核。</x:v>
      </x:c>
      <x:c r="S14" s="10" t="str">
        <x:v>Immowelt</x:v>
      </x:c>
      <x:c r="T14" s="10" t="str">
        <x:v>2026-10-04</x:v>
      </x:c>
    </x:row>
    <x:row r="15">
      <x:c r="A15" s="10" t="str">
        <x:v>IS24-168992467</x:v>
      </x:c>
      <x:c r="B15" s="10" t="str">
        <x:v>Mitte</x:v>
      </x:c>
      <x:c r="C15" s="10" t="str">
        <x:v>Oranienburger Vorstadt，10115</x:v>
      </x:c>
      <x:c r="D15" s="10" t="str">
        <x:v>2021顶层公寓</x:v>
      </x:c>
      <x:c r="E15" s="10" t="n">
        <x:v>2021</x:v>
      </x:c>
      <x:c r="F15" s="15" t="n">
        <x:f>$B$5-E15</x:f>
        <x:v>5</x:v>
      </x:c>
      <x:c r="G15" s="11" t="n">
        <x:v>102</x:v>
      </x:c>
      <x:c r="H15" s="12" t="n">
        <x:v>1250000</x:v>
      </x:c>
      <x:c r="I15" s="16" t="n">
        <x:f>H15/G15</x:f>
        <x:v>12254.901960784313</x:v>
      </x:c>
      <x:c r="J15" s="10" t="n">
        <x:v>2</x:v>
      </x:c>
      <x:c r="K15" s="13" t="n">
        <x:v>355</x:v>
      </x:c>
      <x:c r="L15" s="14" t="n">
        <x:v>0.035699999999999996</x:v>
      </x:c>
      <x:c r="M15" s="12"/>
      <x:c r="N15" s="10" t="str">
        <x:v>未注明</x:v>
      </x:c>
      <x:c r="O15" s="10" t="str">
        <x:v>按约定</x:v>
      </x:c>
      <x:c r="P15" s="17" t="n">
        <x:f>G15*$D$5*12/H15</x:f>
        <x:v>0.019584</x:v>
      </x:c>
      <x:c r="Q15" s="10" t="str">
        <x:v>https://www.immobilienscout24.de/expose/168992467</x:v>
      </x:c>
      <x:c r="R15" s="10" t="str">
        <x:v>高价顶层样本，家具可能另计；页面称房屋建于2021年。</x:v>
      </x:c>
      <x:c r="S15" s="10" t="str">
        <x:v>ImmoScout24</x:v>
      </x:c>
      <x:c r="T15" s="10" t="str">
        <x:v>2026-10-04</x:v>
      </x:c>
    </x:row>
    <x:row r="16">
      <x:c r="A16" s="10" t="str">
        <x:v>IS24-166188876</x:v>
      </x:c>
      <x:c r="B16" s="10" t="str">
        <x:v>Mitte</x:v>
      </x:c>
      <x:c r="C16" s="10" t="str">
        <x:v>Spittelmarkt附近，10117</x:v>
      </x:c>
      <x:c r="D16" s="10" t="str">
        <x:v>5房顶层</x:v>
      </x:c>
      <x:c r="E16" s="10" t="n">
        <x:v>2017</x:v>
      </x:c>
      <x:c r="F16" s="15" t="n">
        <x:f>$B$5-E16</x:f>
        <x:v>9</x:v>
      </x:c>
      <x:c r="G16" s="11" t="n">
        <x:v>145</x:v>
      </x:c>
      <x:c r="H16" s="12" t="n">
        <x:v>1319000</x:v>
      </x:c>
      <x:c r="I16" s="16" t="n">
        <x:f>H16/G16</x:f>
        <x:v>9096.551724137931</x:v>
      </x:c>
      <x:c r="J16" s="10" t="n">
        <x:v>5</x:v>
      </x:c>
      <x:c r="K16" s="13"/>
      <x:c r="L16" s="14" t="n">
        <x:v>0</x:v>
      </x:c>
      <x:c r="M16" s="12" t="n">
        <x:v>50000</x:v>
      </x:c>
      <x:c r="N16" s="10" t="str">
        <x:v>可选2车位，各€50,000</x:v>
      </x:c>
      <x:c r="O16" s="10" t="str">
        <x:v>页面称可腾空</x:v>
      </x:c>
      <x:c r="P16" s="17" t="n">
        <x:f>G16*$D$5*12/H16</x:f>
        <x:v>0.026383623957543595</x:v>
      </x:c>
      <x:c r="Q16" s="10" t="str">
        <x:v>https://www.immobilienscout24.de/expose/166188876</x:v>
      </x:c>
      <x:c r="R16" s="10" t="str">
        <x:v>广告称图片按户型制作而非实景；需现场核对。</x:v>
      </x:c>
      <x:c r="S16" s="10" t="str">
        <x:v>ImmoScout24</x:v>
      </x:c>
      <x:c r="T16" s="10" t="str">
        <x:v>2026-10-04</x:v>
      </x:c>
    </x:row>
    <x:row r="17">
      <x:c r="A17" s="10" t="str">
        <x:v>IS24-171219032</x:v>
      </x:c>
      <x:c r="B17" s="10" t="str">
        <x:v>Mitte</x:v>
      </x:c>
      <x:c r="C17" s="10" t="str">
        <x:v>Wolliner Straße 5，10435</x:v>
      </x:c>
      <x:c r="D17" s="10" t="str">
        <x:v>4房家庭公寓</x:v>
      </x:c>
      <x:c r="E17" s="10" t="n">
        <x:v>2017</x:v>
      </x:c>
      <x:c r="F17" s="15" t="n">
        <x:f>$B$5-E17</x:f>
        <x:v>9</x:v>
      </x:c>
      <x:c r="G17" s="11" t="n">
        <x:v>135</x:v>
      </x:c>
      <x:c r="H17" s="12" t="n">
        <x:v>1445000</x:v>
      </x:c>
      <x:c r="I17" s="16" t="n">
        <x:f>H17/G17</x:f>
        <x:v>10703.703703703704</x:v>
      </x:c>
      <x:c r="J17" s="10" t="n">
        <x:v>4</x:v>
      </x:c>
      <x:c r="K17" s="13"/>
      <x:c r="L17" s="14" t="n">
        <x:v>0</x:v>
      </x:c>
      <x:c r="M17" s="12"/>
      <x:c r="N17" s="10" t="str">
        <x:v>页面称有车位，价格待核</x:v>
      </x:c>
      <x:c r="O17" s="10" t="str">
        <x:v>待核</x:v>
      </x:c>
      <x:c r="P17" s="17" t="n">
        <x:f>G17*$D$5*12/H17</x:f>
        <x:v>0.022422145328719723</x:v>
      </x:c>
      <x:c r="Q17" s="10" t="str">
        <x:v>https://www.immobilienscout24.de/expose/171219032</x:v>
      </x:c>
      <x:c r="R17" s="10" t="str">
        <x:v>页面称无买方中介费；具体车位权利与费用待核。</x:v>
      </x:c>
      <x:c r="S17" s="10" t="str">
        <x:v>ImmoScout24</x:v>
      </x:c>
      <x:c r="T17" s="10" t="str">
        <x:v>2026-10-04</x:v>
      </x:c>
    </x:row>
    <x:row r="18">
      <x:c r="A18" s="10" t="str">
        <x:v>IW-89b7184c-df9d-4a50-be31-7348b11db7e0</x:v>
      </x:c>
      <x:c r="B18" s="10" t="str">
        <x:v>Mitte</x:v>
      </x:c>
      <x:c r="C18" s="10" t="str">
        <x:v>Wallstraße附近，10179</x:v>
      </x:c>
      <x:c r="D18" s="10" t="str">
        <x:v>3房顶层</x:v>
      </x:c>
      <x:c r="E18" s="10" t="n">
        <x:v>2020</x:v>
      </x:c>
      <x:c r="F18" s="15" t="n">
        <x:f>$B$5-E18</x:f>
        <x:v>6</x:v>
      </x:c>
      <x:c r="G18" s="11" t="n">
        <x:v>147</x:v>
      </x:c>
      <x:c r="H18" s="12" t="n">
        <x:v>1590000</x:v>
      </x:c>
      <x:c r="I18" s="16" t="n">
        <x:f>H18/G18</x:f>
        <x:v>10816.326530612245</x:v>
      </x:c>
      <x:c r="J18" s="10" t="n">
        <x:v>3</x:v>
      </x:c>
      <x:c r="K18" s="13" t="n">
        <x:v>599</x:v>
      </x:c>
      <x:c r="L18" s="14" t="n">
        <x:v>0.035699999999999996</x:v>
      </x:c>
      <x:c r="M18" s="12"/>
      <x:c r="N18" s="10" t="str">
        <x:v>页面称含车位，价款口径待核</x:v>
      </x:c>
      <x:c r="O18" s="10" t="str">
        <x:v>页面称立即可用</x:v>
      </x:c>
      <x:c r="P18" s="17" t="n">
        <x:f>G18*$D$5*12/H18</x:f>
        <x:v>0.02218867924528302</x:v>
      </x:c>
      <x:c r="Q18" s="10" t="str">
        <x:v>https://www.immowelt.de/expose/89b7184c-df9d-4a50-be31-7348b11db7e0</x:v>
      </x:c>
      <x:c r="R18" s="10" t="str">
        <x:v>本轮打开页面显示Baujahr 2020；搜索摘要曾显示2021，以直接页面为准。</x:v>
      </x:c>
      <x:c r="S18" s="10" t="str">
        <x:v>Immowelt</x:v>
      </x:c>
      <x:c r="T18" s="10" t="str">
        <x:v>2026-10-04</x:v>
      </x:c>
    </x:row>
  </x:sheetData>
  <x:pageMargins left="0.7" right="0.7" top="0.75" bottom="0.75" header="0.3" footer="0.3"/>
</x:worksheet>
</file>