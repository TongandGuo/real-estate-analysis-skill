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691041d8f042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筛选结果" sheetId="1" r:id="R7df60685cd974eea"/>
    <x:sheet xmlns:r="http://schemas.openxmlformats.org/officeDocument/2006/relationships" name="价格观察" sheetId="2" r:id="R0caba0657a3843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0"/>
    <x:numFmt numFmtId="202" formatCode="0"/>
    <x:numFmt numFmtId="203" formatCode="0.00%"/>
    <x:numFmt numFmtId="204" formatCode="0.0"/>
  </x:numFmts>
  <x:fonts count="5">
    <x:font>
      <x:sz val="11"/>
      <x:name val="Carlito"/>
    </x:font>
    <x:font>
      <x:b/>
      <x:sz val="14"/>
      <x:color rgb="FF17365D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sz val="10"/>
      <x:color rgb="FF475569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1CC"/>
      </x:patternFill>
    </x:fill>
    <x:fill>
      <x:patternFill patternType="solid">
        <x:fgColor rgb="FFEFF6FF"/>
      </x:patternFill>
    </x:fill>
  </x:fills>
  <x:borders count="1">
    <x:border/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3" fillId="0" borderId="0" xfId="0" applyNumberFormat="1" applyFont="1" applyFill="1" applyBorder="1"/>
    <x:xf numFmtId="204" fontId="3" fillId="0" borderId="0" xfId="0" applyNumberFormat="1" applyFont="1" applyFill="1" applyBorder="1"/>
    <x:xf numFmtId="0" fontId="3" fillId="3" borderId="0" xfId="0" applyNumberFormat="1" applyFont="1" applyFill="1" applyBorder="1"/>
    <x:xf numFmtId="200" fontId="3" fillId="4" borderId="0" xfId="0" applyNumberFormat="1" applyFont="1" applyFill="1" applyBorder="1"/>
    <x:xf numFmtId="202" fontId="3" fillId="4" borderId="0" xfId="0" applyNumberFormat="1" applyFont="1" applyFill="1" applyBorder="1"/>
    <x:xf numFmtId="201" fontId="3" fillId="4" borderId="0" xfId="0" applyNumberFormat="1" applyFont="1" applyFill="1" applyBorder="1"/>
    <x:xf numFmtId="203" fontId="3" fillId="4" borderId="0" xfId="0" applyNumberFormat="1" applyFont="1" applyFill="1" applyBorder="1"/>
    <x:xf numFmtId="204" fontId="3" fillId="4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c200e74ad24416" /><Relationship Type="http://schemas.openxmlformats.org/officeDocument/2006/relationships/theme" Target="/xl/theme/theme1.xml" Id="Rac11a2703bd341f4" /><Relationship Type="http://schemas.openxmlformats.org/officeDocument/2006/relationships/sharedStrings" Target="/xl/sharedStrings.xml" Id="R42adcdf66a6546fa" /><Relationship Type="http://schemas.openxmlformats.org/officeDocument/2006/relationships/worksheet" Target="/xl/worksheets/sheet1.xml" Id="R7df60685cd974eea" /><Relationship Type="http://schemas.openxmlformats.org/officeDocument/2006/relationships/worksheet" Target="/xl/worksheets/sheet2.xml" Id="R0caba0657a3843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43" hidden="0" customWidth="1"/>
    <x:col min="2" max="2" width="26" hidden="0" customWidth="1"/>
    <x:col min="3" max="3" width="17" hidden="0" customWidth="1"/>
    <x:col min="4" max="4" width="25" hidden="0" customWidth="1"/>
    <x:col min="5" max="5" width="26" hidden="0" customWidth="1"/>
    <x:col min="6" max="6" width="39" hidden="0" customWidth="1"/>
    <x:col min="7" max="7" width="14" hidden="0" customWidth="1"/>
    <x:col min="8" max="8" width="12" hidden="0" customWidth="1"/>
    <x:col min="9" max="9" width="16" hidden="0" customWidth="1"/>
    <x:col min="10" max="10" width="14" hidden="0" customWidth="1"/>
    <x:col min="11" max="11" width="12" hidden="0" customWidth="1"/>
    <x:col min="12" max="12" width="16" hidden="0" customWidth="1"/>
    <x:col min="13" max="13" width="19" hidden="0" customWidth="1"/>
    <x:col min="14" max="14" width="21" hidden="0" customWidth="1"/>
    <x:col min="15" max="15" width="10" hidden="0" customWidth="1"/>
    <x:col min="16" max="16" width="23" hidden="0" customWidth="1"/>
    <x:col min="17" max="17" width="17" hidden="0" customWidth="1"/>
    <x:col min="18" max="18" width="17" hidden="0" customWidth="1"/>
    <x:col min="19" max="19" width="15" hidden="0" customWidth="1"/>
    <x:col min="20" max="20" width="15" hidden="0" customWidth="1"/>
    <x:col min="21" max="21" width="17" hidden="0" customWidth="1"/>
    <x:col min="22" max="22" width="19" hidden="0" customWidth="1"/>
    <x:col min="23" max="23" width="34" hidden="0" customWidth="1"/>
    <x:col min="24" max="24" width="15" hidden="0" customWidth="1"/>
    <x:col min="25" max="25" width="68" hidden="0" customWidth="1"/>
    <x:col min="26" max="26" width="67" hidden="0" customWidth="1"/>
  </x:cols>
  <x:sheetData>
    <x:row r="2">
      <x:c r="A2" s="1" t="str">
        <x:v>柏林房源｜筛选结果</x:v>
      </x:c>
    </x:row>
    <x:row r="3">
      <x:c r="A3" s="24" t="str">
        <x:v>条件：建筑建造年 &gt; 2010；挂牌房价 &lt; €500,000；居住面积 &gt; 40 m²；不限一手/二手。记录更新：2026-10-06</x:v>
      </x:c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  <x:c r="N3" s="24"/>
      <x:c r="O3" s="24"/>
      <x:c r="P3" s="24"/>
      <x:c r="Q3" s="24"/>
      <x:c r="R3" s="24"/>
      <x:c r="S3" s="24"/>
      <x:c r="T3" s="24"/>
      <x:c r="U3" s="24"/>
      <x:c r="V3" s="24"/>
      <x:c r="W3" s="24"/>
      <x:c r="X3" s="24"/>
      <x:c r="Y3" s="24"/>
      <x:c r="Z3" s="24"/>
    </x:row>
    <x:row r="4">
      <x:c r="A4" s="24" t="str">
        <x:v>期房仅按公布的预计交付年暂纳入；建造年未知者标为待核。租售比采用 IBB 区域冷租金中位数的毛收益情景，未扣成本。</x:v>
      </x:c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4"/>
      <x:c r="P4" s="24"/>
      <x:c r="Q4" s="24"/>
      <x:c r="R4" s="24"/>
      <x:c r="S4" s="24"/>
      <x:c r="T4" s="24"/>
      <x:c r="U4" s="24"/>
      <x:c r="V4" s="24"/>
      <x:c r="W4" s="24"/>
      <x:c r="X4" s="24"/>
      <x:c r="Y4" s="24"/>
      <x:c r="Z4" s="24"/>
    </x:row>
    <x:row r="5">
      <x:c r="A5" s="24" t="str">
        <x:v>已建候选</x:v>
      </x:c>
      <x:c r="B5" s="24" t="n">
        <x:v>6</x:v>
      </x:c>
      <x:c r="C5" s="24" t="str">
        <x:v>期房候选</x:v>
      </x:c>
      <x:c r="D5" s="24" t="n">
        <x:v>30</x:v>
      </x:c>
      <x:c r="E5" s="24" t="str">
        <x:v>年份待核</x:v>
      </x:c>
      <x:c r="F5" s="24" t="n">
        <x:v>13</x:v>
      </x:c>
      <x:c r="G5" s="24" t="str">
        <x:v>统计年</x:v>
      </x:c>
      <x:c r="H5" s="24" t="n">
        <x:v>2026</x:v>
      </x:c>
      <x:c r="I5" s="24"/>
      <x:c r="J5" s="24"/>
      <x:c r="K5" s="24"/>
      <x:c r="L5" s="24"/>
      <x:c r="M5" s="24"/>
      <x:c r="N5" s="24"/>
      <x:c r="O5" s="24"/>
      <x:c r="P5" s="24"/>
      <x:c r="Q5" s="24"/>
      <x:c r="R5" s="24"/>
      <x:c r="S5" s="24"/>
      <x:c r="T5" s="24"/>
      <x:c r="U5" s="24"/>
      <x:c r="V5" s="24"/>
      <x:c r="W5" s="24"/>
      <x:c r="X5" s="24"/>
      <x:c r="Y5" s="24"/>
      <x:c r="Z5" s="24"/>
    </x:row>
    <x:row r="6">
      <x:c r="A6" s="24" t="str">
        <x:v>租金来源：IBB 2025，https://www.ibb.de/media/dokumente/publikationen/berliner-wohnungsmarkt/wohnungsmarktbericht/2025/ibb-wohnungsmarktbericht-angebotsmieten_2012-2025.pdf</x:v>
      </x:c>
      <x:c r="B6" s="24"/>
      <x:c r="C6" s="24"/>
      <x:c r="D6" s="24"/>
      <x:c r="E6" s="24"/>
      <x:c r="F6" s="24"/>
      <x:c r="G6" s="24"/>
      <x:c r="H6" s="24"/>
      <x:c r="I6" s="24"/>
      <x:c r="J6" s="24"/>
      <x:c r="K6" s="24"/>
      <x:c r="L6" s="24"/>
      <x:c r="M6" s="24"/>
      <x:c r="N6" s="24"/>
      <x:c r="O6" s="24"/>
      <x:c r="P6" s="24"/>
      <x:c r="Q6" s="24"/>
      <x:c r="R6" s="24"/>
      <x:c r="S6" s="24"/>
      <x:c r="T6" s="24"/>
      <x:c r="U6" s="24"/>
      <x:c r="V6" s="24"/>
      <x:c r="W6" s="24"/>
      <x:c r="X6" s="24"/>
      <x:c r="Y6" s="24"/>
      <x:c r="Z6" s="24"/>
    </x:row>
    <x:row r="7" ht="30" customHeight="1">
      <x:c r="A7" s="5" t="str">
        <x:v>ID</x:v>
      </x:c>
      <x:c r="B7" s="5" t="str">
        <x:v>区</x:v>
      </x:c>
      <x:c r="C7" s="5" t="str">
        <x:v>街区</x:v>
      </x:c>
      <x:c r="D7" s="5" t="str">
        <x:v>项目</x:v>
      </x:c>
      <x:c r="E7" s="5" t="str">
        <x:v>单元</x:v>
      </x:c>
      <x:c r="F7" s="5" t="str">
        <x:v>位置</x:v>
      </x:c>
      <x:c r="G7" s="5" t="str">
        <x:v>房价 €</x:v>
      </x:c>
      <x:c r="H7" s="5" t="str">
        <x:v>面积 m²</x:v>
      </x:c>
      <x:c r="I7" s="5" t="str">
        <x:v>单价 €/m²</x:v>
      </x:c>
      <x:c r="J7" s="5" t="str">
        <x:v>建造年份</x:v>
      </x:c>
      <x:c r="K7" s="5" t="str">
        <x:v>房龄 年</x:v>
      </x:c>
      <x:c r="L7" s="5" t="str">
        <x:v>预计交付年</x:v>
      </x:c>
      <x:c r="M7" s="5" t="str">
        <x:v>年份核验</x:v>
      </x:c>
      <x:c r="N7" s="5" t="str">
        <x:v>销售类型</x:v>
      </x:c>
      <x:c r="O7" s="5" t="str">
        <x:v>房间</x:v>
      </x:c>
      <x:c r="P7" s="5" t="str">
        <x:v>租金基准 €/m²/月</x:v>
      </x:c>
      <x:c r="Q7" s="5" t="str">
        <x:v>估算月冷租 €</x:v>
      </x:c>
      <x:c r="R7" s="5" t="str">
        <x:v>年毛租售比</x:v>
      </x:c>
      <x:c r="S7" s="5" t="str">
        <x:v>房价/年租</x:v>
      </x:c>
      <x:c r="T7" s="5" t="str">
        <x:v>交付</x:v>
      </x:c>
      <x:c r="U7" s="5" t="str">
        <x:v>车位另购 €</x:v>
      </x:c>
      <x:c r="V7" s="5" t="str">
        <x:v>来源级别</x:v>
      </x:c>
      <x:c r="W7" s="5" t="str">
        <x:v>可售状态</x:v>
      </x:c>
      <x:c r="X7" s="5" t="str">
        <x:v>记录日</x:v>
      </x:c>
      <x:c r="Y7" s="5" t="str">
        <x:v>房源链接</x:v>
      </x:c>
      <x:c r="Z7" s="5" t="str">
        <x:v>核验备注</x:v>
      </x:c>
    </x:row>
    <x:row r="8">
      <x:c r="A8" s="12" t="str">
        <x:v>IW-34a4621b-d30e-4d4c-b010-cabce0859573</x:v>
      </x:c>
      <x:c r="B8" s="12" t="str">
        <x:v>Pankow</x:v>
      </x:c>
      <x:c r="C8" s="12" t="str">
        <x:v>Rosenthal</x:v>
      </x:c>
      <x:c r="D8" s="12" t="str">
        <x:v>Rosenthal 2019公寓</x:v>
      </x:c>
      <x:c r="E8" s="12" t="str">
        <x:v>3 Zimmer 80.01</x:v>
      </x:c>
      <x:c r="F8" s="12" t="str">
        <x:v>Rosenthal，具体地址未公开 · 13158</x:v>
      </x:c>
      <x:c r="G8" s="13" t="n">
        <x:v>430000</x:v>
      </x:c>
      <x:c r="H8" s="14" t="n">
        <x:v>80.01</x:v>
      </x:c>
      <x:c r="I8" s="19" t="n">
        <x:f>G8/H8</x:f>
        <x:v>5374.328208973878</x:v>
      </x:c>
      <x:c r="J8" s="15" t="n">
        <x:v>2019</x:v>
      </x:c>
      <x:c r="K8" s="20" t="n">
        <x:f>IF(J8="","",$H$5-J8)</x:f>
        <x:v>7</x:v>
      </x:c>
      <x:c r="L8" s="15"/>
      <x:c r="M8" s="12" t="str">
        <x:v>已建-符合</x:v>
      </x:c>
      <x:c r="N8" s="12" t="str">
        <x:v>二手</x:v>
      </x:c>
      <x:c r="O8" s="12" t="n">
        <x:v>3</x:v>
      </x:c>
      <x:c r="P8" s="14" t="n">
        <x:v>17</x:v>
      </x:c>
      <x:c r="Q8" s="21" t="n">
        <x:f>H8*P8</x:f>
        <x:v>1360.17</x:v>
      </x:c>
      <x:c r="R8" s="22" t="n">
        <x:f>Q8*12/G8</x:f>
        <x:v>0.037958232558139536</x:v>
      </x:c>
      <x:c r="S8" s="23" t="n">
        <x:f>G8/(Q8*12)</x:f>
        <x:v>26.344746122420972</x:v>
      </x:c>
      <x:c r="T8" s="12" t="str">
        <x:v>即刻</x:v>
      </x:c>
      <x:c r="U8" s="13"/>
      <x:c r="V8" s="12" t="str">
        <x:v>单套页面</x:v>
      </x:c>
      <x:c r="W8" s="12" t="str">
        <x:v>页面可见，实际可售待确认</x:v>
      </x:c>
      <x:c r="X8" s="12" t="str">
        <x:v>2026-10-04</x:v>
      </x:c>
      <x:c r="Y8" s="12" t="str">
        <x:v>https://www.immowelt.de/expose/34a4621b-d30e-4d4c-b010-cabce0859573</x:v>
      </x:c>
      <x:c r="Z8" s="12" t="str">
        <x:v>2019年建筑；页面楼层信息不一致待核；Hausgeld约507€/月，买方中介费3.57%</x:v>
      </x:c>
    </x:row>
    <x:row r="9">
      <x:c r="A9" s="12" t="str">
        <x:v>NBK-163591699</x:v>
      </x:c>
      <x:c r="B9" s="12" t="str">
        <x:v>Treptow-Köpenick</x:v>
      </x:c>
      <x:c r="C9" s="12" t="str">
        <x:v>Köpenick</x:v>
      </x:c>
      <x:c r="D9" s="12" t="str">
        <x:v>ACHTERDECK</x:v>
      </x:c>
      <x:c r="E9" s="12" t="str">
        <x:v>070 / 2.4.4</x:v>
      </x:c>
      <x:c r="F9" s="12" t="str">
        <x:v>Wendenschloßstraße 330-332 · 12557</x:v>
      </x:c>
      <x:c r="G9" s="13" t="n">
        <x:v>399900</x:v>
      </x:c>
      <x:c r="H9" s="14" t="n">
        <x:v>63.41</x:v>
      </x:c>
      <x:c r="I9" s="19" t="n">
        <x:f>G9/H9</x:f>
        <x:v>6306.576249802871</x:v>
      </x:c>
      <x:c r="J9" s="15" t="n">
        <x:v>2024</x:v>
      </x:c>
      <x:c r="K9" s="20" t="n">
        <x:f>IF(J9="","",$H$5-J9)</x:f>
        <x:v>2</x:v>
      </x:c>
      <x:c r="L9" s="15"/>
      <x:c r="M9" s="12" t="str">
        <x:v>已建-符合</x:v>
      </x:c>
      <x:c r="N9" s="12" t="str">
        <x:v>开发商直售或项目页</x:v>
      </x:c>
      <x:c r="O9" s="12" t="n">
        <x:v>2</x:v>
      </x:c>
      <x:c r="P9" s="14" t="n">
        <x:v>15.6</x:v>
      </x:c>
      <x:c r="Q9" s="21" t="n">
        <x:f>H9*P9</x:f>
        <x:v>989.1959999999999</x:v>
      </x:c>
      <x:c r="R9" s="22" t="n">
        <x:f>Q9*12/G9</x:f>
        <x:v>0.0296833008252063</x:v>
      </x:c>
      <x:c r="S9" s="23" t="n">
        <x:f>G9/(Q9*12)</x:f>
        <x:v>33.688975693391406</x:v>
      </x:c>
      <x:c r="T9" s="12" t="str">
        <x:v>即刻</x:v>
      </x:c>
      <x:c r="U9" s="13"/>
      <x:c r="V9" s="12" t="str">
        <x:v>单套页面</x:v>
      </x:c>
      <x:c r="W9" s="12" t="str">
        <x:v>页面可见，实际可售待确认</x:v>
      </x:c>
      <x:c r="X9" s="12" t="str">
        <x:v>2026-10-03</x:v>
      </x:c>
      <x:c r="Y9" s="12" t="str">
        <x:v>https://www.neubaukompass.de/neubau/achterdeck-berlin-koepenick-berlin/143476/expose-163591699/</x:v>
      </x:c>
      <x:c r="Z9" s="12" t="str">
        <x:v>标题399,000与数值399,900不一致；采用明确价格栏，需确认</x:v>
      </x:c>
    </x:row>
    <x:row r="10">
      <x:c r="A10" s="12" t="str">
        <x:v>IW-10a960de-7748-4607-afa5-0a2896f690c2</x:v>
      </x:c>
      <x:c r="B10" s="12" t="str">
        <x:v>Charlottenburg-Wilmersdorf</x:v>
      </x:c>
      <x:c r="C10" s="12" t="str">
        <x:v>Charlottenburg</x:v>
      </x:c>
      <x:c r="D10" s="12" t="str">
        <x:v>Charlottenburg 2018公寓</x:v>
      </x:c>
      <x:c r="E10" s="12" t="str">
        <x:v>2 Zimmer 71</x:v>
      </x:c>
      <x:c r="F10" s="12" t="str">
        <x:v>Charlottenburg，具体地址未公开 · 14059</x:v>
      </x:c>
      <x:c r="G10" s="13" t="n">
        <x:v>450000</x:v>
      </x:c>
      <x:c r="H10" s="14" t="n">
        <x:v>71</x:v>
      </x:c>
      <x:c r="I10" s="19" t="n">
        <x:f>G10/H10</x:f>
        <x:v>6338.028169014085</x:v>
      </x:c>
      <x:c r="J10" s="15" t="n">
        <x:v>2018</x:v>
      </x:c>
      <x:c r="K10" s="20" t="n">
        <x:f>IF(J10="","",$H$5-J10)</x:f>
        <x:v>8</x:v>
      </x:c>
      <x:c r="L10" s="15"/>
      <x:c r="M10" s="12" t="str">
        <x:v>已建-符合</x:v>
      </x:c>
      <x:c r="N10" s="12" t="str">
        <x:v>二手</x:v>
      </x:c>
      <x:c r="O10" s="12" t="n">
        <x:v>2</x:v>
      </x:c>
      <x:c r="P10" s="14" t="n">
        <x:v>19.17</x:v>
      </x:c>
      <x:c r="Q10" s="21" t="n">
        <x:f>H10*P10</x:f>
        <x:v>1361.0700000000002</x:v>
      </x:c>
      <x:c r="R10" s="22" t="n">
        <x:f>Q10*12/G10</x:f>
        <x:v>0.03629520000000001</x:v>
      </x:c>
      <x:c r="S10" s="23" t="n">
        <x:f>G10/(Q10*12)</x:f>
        <x:v>27.551852586567918</x:v>
      </x:c>
      <x:c r="T10" s="12" t="str">
        <x:v>即刻</x:v>
      </x:c>
      <x:c r="U10" s="13"/>
      <x:c r="V10" s="12" t="str">
        <x:v>单套页面</x:v>
      </x:c>
      <x:c r="W10" s="12" t="str">
        <x:v>页面可见，实际可售待确认</x:v>
      </x:c>
      <x:c r="X10" s="12" t="str">
        <x:v>2026-10-04</x:v>
      </x:c>
      <x:c r="Y10" s="12" t="str">
        <x:v>https://www.immowelt.de/expose/10a960de-7748-4607-afa5-0a2896f690c2</x:v>
      </x:c>
      <x:c r="Z10" s="12" t="str">
        <x:v>2018年建筑；买方中介费3.57%，其他购买费用另计</x:v>
      </x:c>
    </x:row>
    <x:row r="11">
      <x:c r="A11" s="12" t="str">
        <x:v>NBK-163606930</x:v>
      </x:c>
      <x:c r="B11" s="12" t="str">
        <x:v>Treptow-Köpenick</x:v>
      </x:c>
      <x:c r="C11" s="12" t="str">
        <x:v>Köpenick</x:v>
      </x:c>
      <x:c r="D11" s="12" t="str">
        <x:v>ACHTERDECK</x:v>
      </x:c>
      <x:c r="E11" s="12" t="str">
        <x:v>072 / 2.4.6</x:v>
      </x:c>
      <x:c r="F11" s="12" t="str">
        <x:v>Wendenschloßstraße 330-332 · 12557</x:v>
      </x:c>
      <x:c r="G11" s="13" t="n">
        <x:v>359000</x:v>
      </x:c>
      <x:c r="H11" s="14" t="n">
        <x:v>55.85</x:v>
      </x:c>
      <x:c r="I11" s="19" t="n">
        <x:f>G11/H11</x:f>
        <x:v>6427.931960608773</x:v>
      </x:c>
      <x:c r="J11" s="15" t="n">
        <x:v>2024</x:v>
      </x:c>
      <x:c r="K11" s="20" t="n">
        <x:f>IF(J11="","",$H$5-J11)</x:f>
        <x:v>2</x:v>
      </x:c>
      <x:c r="L11" s="15"/>
      <x:c r="M11" s="12" t="str">
        <x:v>已建-符合</x:v>
      </x:c>
      <x:c r="N11" s="12" t="str">
        <x:v>开发商直售或项目页</x:v>
      </x:c>
      <x:c r="O11" s="12" t="n">
        <x:v>2</x:v>
      </x:c>
      <x:c r="P11" s="14" t="n">
        <x:v>15.6</x:v>
      </x:c>
      <x:c r="Q11" s="21" t="n">
        <x:f>H11*P11</x:f>
        <x:v>871.26</x:v>
      </x:c>
      <x:c r="R11" s="22" t="n">
        <x:f>Q11*12/G11</x:f>
        <x:v>0.029122896935933146</x:v>
      </x:c>
      <x:c r="S11" s="23" t="n">
        <x:f>G11/(Q11*12)</x:f>
        <x:v>34.33724337932038</x:v>
      </x:c>
      <x:c r="T11" s="12" t="str">
        <x:v>即刻</x:v>
      </x:c>
      <x:c r="U11" s="13"/>
      <x:c r="V11" s="12" t="str">
        <x:v>单套页面</x:v>
      </x:c>
      <x:c r="W11" s="12" t="str">
        <x:v>页面可见，实际可售待确认</x:v>
      </x:c>
      <x:c r="X11" s="12" t="str">
        <x:v>2026-10-03</x:v>
      </x:c>
      <x:c r="Y11" s="12" t="str">
        <x:v>https://www.neubaukompass.de/neubau/achterdeck-berlin-koepenick-berlin/143476/expose-163606930/</x:v>
      </x:c>
      <x:c r="Z11" s="12" t="str">
        <x:v>开发商新房直售；实际可售待确认</x:v>
      </x:c>
    </x:row>
    <x:row r="12">
      <x:c r="A12" s="12" t="str">
        <x:v>IS24-170196403</x:v>
      </x:c>
      <x:c r="B12" s="12" t="str">
        <x:v>Steglitz-Zehlendorf</x:v>
      </x:c>
      <x:c r="C12" s="12" t="str">
        <x:v>Lankwitz</x:v>
      </x:c>
      <x:c r="D12" s="12" t="str">
        <x:v>Lankwitz Maisonette</x:v>
      </x:c>
      <x:c r="E12" s="12" t="str">
        <x:v>WW28</x:v>
      </x:c>
      <x:c r="F12" s="12" t="str">
        <x:v>Lankwitz，具体地址未公开 · 12247</x:v>
      </x:c>
      <x:c r="G12" s="13" t="n">
        <x:v>499000</x:v>
      </x:c>
      <x:c r="H12" s="14" t="n">
        <x:v>72.4</x:v>
      </x:c>
      <x:c r="I12" s="19" t="n">
        <x:f>G12/H12</x:f>
        <x:v>6892.265193370165</x:v>
      </x:c>
      <x:c r="J12" s="15" t="n">
        <x:v>2019</x:v>
      </x:c>
      <x:c r="K12" s="20" t="n">
        <x:f>IF(J12="","",$H$5-J12)</x:f>
        <x:v>7</x:v>
      </x:c>
      <x:c r="L12" s="15"/>
      <x:c r="M12" s="12" t="str">
        <x:v>已建-符合</x:v>
      </x:c>
      <x:c r="N12" s="12" t="str">
        <x:v>二手</x:v>
      </x:c>
      <x:c r="O12" s="12" t="n">
        <x:v>2</x:v>
      </x:c>
      <x:c r="P12" s="14" t="n">
        <x:v>15</x:v>
      </x:c>
      <x:c r="Q12" s="21" t="n">
        <x:f>H12*P12</x:f>
        <x:v>1086</x:v>
      </x:c>
      <x:c r="R12" s="22" t="n">
        <x:f>Q12*12/G12</x:f>
        <x:v>0.026116232464929858</x:v>
      </x:c>
      <x:c r="S12" s="23" t="n">
        <x:f>G12/(Q12*12)</x:f>
        <x:v>38.29036218538981</x:v>
      </x:c>
      <x:c r="T12" s="12" t="str">
        <x:v>即刻</x:v>
      </x:c>
      <x:c r="U12" s="13"/>
      <x:c r="V12" s="12" t="str">
        <x:v>单套页面</x:v>
      </x:c>
      <x:c r="W12" s="12" t="str">
        <x:v>页面可见，实际可售待确认</x:v>
      </x:c>
      <x:c r="X12" s="12" t="str">
        <x:v>2026-10-04</x:v>
      </x:c>
      <x:c r="Y12" s="12" t="str">
        <x:v>https://www.immobilienscout24.de/expose/170196403</x:v>
      </x:c>
      <x:c r="Z12" s="12" t="str">
        <x:v>2019年建筑；挂牌价贴近上限，买方中介费3.57%另计</x:v>
      </x:c>
    </x:row>
    <x:row r="13">
      <x:c r="A13" s="12" t="str">
        <x:v>IW-b5c964ae-0c80-45e3-9d98-19bfe01c9517</x:v>
      </x:c>
      <x:c r="B13" s="12" t="str">
        <x:v>Mitte</x:v>
      </x:c>
      <x:c r="C13" s="12" t="str">
        <x:v>Tiergarten</x:v>
      </x:c>
      <x:c r="D13" s="12" t="str">
        <x:v>Flottwell Living</x:v>
      </x:c>
      <x:c r="E13" s="12" t="str">
        <x:v>EG 2 Zimmer Garten</x:v>
      </x:c>
      <x:c r="F13" s="12" t="str">
        <x:v>Flottwellstraße 29 · 10785</x:v>
      </x:c>
      <x:c r="G13" s="13" t="n">
        <x:v>420000</x:v>
      </x:c>
      <x:c r="H13" s="14" t="n">
        <x:v>58.11</x:v>
      </x:c>
      <x:c r="I13" s="19" t="n">
        <x:f>G13/H13</x:f>
        <x:v>7227.671657201859</x:v>
      </x:c>
      <x:c r="J13" s="15" t="n">
        <x:v>2015</x:v>
      </x:c>
      <x:c r="K13" s="20" t="n">
        <x:f>IF(J13="","",$H$5-J13)</x:f>
        <x:v>11</x:v>
      </x:c>
      <x:c r="L13" s="15"/>
      <x:c r="M13" s="12" t="str">
        <x:v>已建-符合</x:v>
      </x:c>
      <x:c r="N13" s="12" t="str">
        <x:v>二手</x:v>
      </x:c>
      <x:c r="O13" s="12" t="n">
        <x:v>2</x:v>
      </x:c>
      <x:c r="P13" s="14" t="n">
        <x:v>20</x:v>
      </x:c>
      <x:c r="Q13" s="21" t="n">
        <x:f>H13*P13</x:f>
        <x:v>1162.2</x:v>
      </x:c>
      <x:c r="R13" s="22" t="n">
        <x:f>Q13*12/G13</x:f>
        <x:v>0.03320571428571429</x:v>
      </x:c>
      <x:c r="S13" s="23" t="n">
        <x:f>G13/(Q13*12)</x:f>
        <x:v>30.11529857167441</x:v>
      </x:c>
      <x:c r="T13" s="12" t="str">
        <x:v>即刻</x:v>
      </x:c>
      <x:c r="U13" s="13"/>
      <x:c r="V13" s="12" t="str">
        <x:v>单套页面</x:v>
      </x:c>
      <x:c r="W13" s="12" t="str">
        <x:v>页面可见，实际可售待确认</x:v>
      </x:c>
      <x:c r="X13" s="12" t="str">
        <x:v>2026-10-04</x:v>
      </x:c>
      <x:c r="Y13" s="12" t="str">
        <x:v>https://www.immowelt.de/expose/b5c964ae-0c80-45e3-9d98-19bfe01c9517</x:v>
      </x:c>
      <x:c r="Z13" s="12" t="str">
        <x:v>2015年建筑，已翻新；Hausgeld约262€/月，买方中介费3.57%；租售比未扣费用</x:v>
      </x:c>
    </x:row>
    <x:row r="14">
      <x:c r="A14" s="12" t="str">
        <x:v>NBK-WP-91.9-499900</x:v>
      </x:c>
      <x:c r="B14" s="12" t="str">
        <x:v>Pankow</x:v>
      </x:c>
      <x:c r="C14" s="12" t="str">
        <x:v>Buch</x:v>
      </x:c>
      <x:c r="D14" s="12" t="str">
        <x:v>Waldpanorama</x:v>
      </x:c>
      <x:c r="E14" s="12" t="str">
        <x:v>91.9-499900</x:v>
      </x:c>
      <x:c r="F14" s="12" t="str">
        <x:v>Wiltbergstraße 100 · 13125</x:v>
      </x:c>
      <x:c r="G14" s="13" t="n">
        <x:v>499900</x:v>
      </x:c>
      <x:c r="H14" s="14" t="n">
        <x:v>91.9</x:v>
      </x:c>
      <x:c r="I14" s="19" t="n">
        <x:f>G14/H14</x:f>
        <x:v>5439.6082698585415</x:v>
      </x:c>
      <x:c r="J14" s="15"/>
      <x:c r="K14" s="20" t="str">
        <x:f>IF(J14="","",$H$5-J14)</x:f>
      </x:c>
      <x:c r="L14" s="15" t="n">
        <x:v>2028</x:v>
      </x:c>
      <x:c r="M14" s="12" t="str">
        <x:v>期房-待交付</x:v>
      </x:c>
      <x:c r="N14" s="12" t="str">
        <x:v>开发商直售或项目页</x:v>
      </x:c>
      <x:c r="O14" s="12" t="n">
        <x:v>2</x:v>
      </x:c>
      <x:c r="P14" s="14" t="n">
        <x:v>17</x:v>
      </x:c>
      <x:c r="Q14" s="21" t="n">
        <x:f>H14*P14</x:f>
        <x:v>1562.3000000000002</x:v>
      </x:c>
      <x:c r="R14" s="22" t="n">
        <x:f>Q14*12/G14</x:f>
        <x:v>0.03750270054010803</x:v>
      </x:c>
      <x:c r="S14" s="23" t="n">
        <x:f>G14/(Q14*12)</x:f>
        <x:v>26.6647464208752</x:v>
      </x:c>
      <x:c r="T14" s="12" t="str">
        <x:v>Mai 2028</x:v>
      </x:c>
      <x:c r="U14" s="13"/>
      <x:c r="V14" s="12" t="str">
        <x:v>项目页单元示例</x:v>
      </x:c>
      <x:c r="W14" s="12" t="str">
        <x:v>项目页列示，实际可售待确认</x:v>
      </x:c>
      <x:c r="X14" s="12" t="str">
        <x:v>2026-10-06</x:v>
      </x:c>
      <x:c r="Y14" s="12" t="str">
        <x:v>https://www.neubaukompass.de/neubau/waldpanorama-berlin/148531.html</x:v>
      </x:c>
      <x:c r="Z14" s="12" t="str">
        <x:v>项目页列示单元价格与面积；单套页面未能读取。实际可售和实际建造年待确认。</x:v>
      </x:c>
    </x:row>
    <x:row r="15">
      <x:c r="A15" s="12" t="str">
        <x:v>NBK-WP-73.1-419900</x:v>
      </x:c>
      <x:c r="B15" s="12" t="str">
        <x:v>Pankow</x:v>
      </x:c>
      <x:c r="C15" s="12" t="str">
        <x:v>Buch</x:v>
      </x:c>
      <x:c r="D15" s="12" t="str">
        <x:v>Waldpanorama</x:v>
      </x:c>
      <x:c r="E15" s="12" t="str">
        <x:v>73.1-419900</x:v>
      </x:c>
      <x:c r="F15" s="12" t="str">
        <x:v>Wiltbergstraße 100 · 13125</x:v>
      </x:c>
      <x:c r="G15" s="13" t="n">
        <x:v>419900</x:v>
      </x:c>
      <x:c r="H15" s="14" t="n">
        <x:v>73.1</x:v>
      </x:c>
      <x:c r="I15" s="19" t="n">
        <x:f>G15/H15</x:f>
        <x:v>5744.186046511629</x:v>
      </x:c>
      <x:c r="J15" s="15"/>
      <x:c r="K15" s="20" t="str">
        <x:f>IF(J15="","",$H$5-J15)</x:f>
      </x:c>
      <x:c r="L15" s="15" t="n">
        <x:v>2028</x:v>
      </x:c>
      <x:c r="M15" s="12" t="str">
        <x:v>期房-待交付</x:v>
      </x:c>
      <x:c r="N15" s="12" t="str">
        <x:v>开发商直售或项目页</x:v>
      </x:c>
      <x:c r="O15" s="12" t="n">
        <x:v>3</x:v>
      </x:c>
      <x:c r="P15" s="14" t="n">
        <x:v>17</x:v>
      </x:c>
      <x:c r="Q15" s="21" t="n">
        <x:f>H15*P15</x:f>
        <x:v>1242.6999999999998</x:v>
      </x:c>
      <x:c r="R15" s="22" t="n">
        <x:f>Q15*12/G15</x:f>
        <x:v>0.03551417004048583</x:v>
      </x:c>
      <x:c r="S15" s="23" t="n">
        <x:f>G15/(Q15*12)</x:f>
        <x:v>28.1577747378021</x:v>
      </x:c>
      <x:c r="T15" s="12" t="str">
        <x:v>Mai 2028</x:v>
      </x:c>
      <x:c r="U15" s="13"/>
      <x:c r="V15" s="12" t="str">
        <x:v>项目页单元示例</x:v>
      </x:c>
      <x:c r="W15" s="12" t="str">
        <x:v>项目页列示，实际可售待确认</x:v>
      </x:c>
      <x:c r="X15" s="12" t="str">
        <x:v>2026-10-06</x:v>
      </x:c>
      <x:c r="Y15" s="12" t="str">
        <x:v>https://www.neubaukompass.de/neubau/waldpanorama-berlin/148531.html</x:v>
      </x:c>
      <x:c r="Z15" s="12" t="str">
        <x:v>项目页列示单元价格与面积；单套页面未能读取。实际可售和实际建造年待确认。</x:v>
      </x:c>
    </x:row>
    <x:row r="16">
      <x:c r="A16" s="12" t="str">
        <x:v>NBK-WP-74.8-439900</x:v>
      </x:c>
      <x:c r="B16" s="12" t="str">
        <x:v>Pankow</x:v>
      </x:c>
      <x:c r="C16" s="12" t="str">
        <x:v>Buch</x:v>
      </x:c>
      <x:c r="D16" s="12" t="str">
        <x:v>Waldpanorama</x:v>
      </x:c>
      <x:c r="E16" s="12" t="str">
        <x:v>74.8-439900</x:v>
      </x:c>
      <x:c r="F16" s="12" t="str">
        <x:v>Wiltbergstraße 100 · 13125</x:v>
      </x:c>
      <x:c r="G16" s="13" t="n">
        <x:v>439900</x:v>
      </x:c>
      <x:c r="H16" s="14" t="n">
        <x:v>74.8</x:v>
      </x:c>
      <x:c r="I16" s="19" t="n">
        <x:f>G16/H16</x:f>
        <x:v>5881.016042780749</x:v>
      </x:c>
      <x:c r="J16" s="15"/>
      <x:c r="K16" s="20" t="str">
        <x:f>IF(J16="","",$H$5-J16)</x:f>
      </x:c>
      <x:c r="L16" s="15" t="n">
        <x:v>2028</x:v>
      </x:c>
      <x:c r="M16" s="12" t="str">
        <x:v>期房-待交付</x:v>
      </x:c>
      <x:c r="N16" s="12" t="str">
        <x:v>开发商直售或项目页</x:v>
      </x:c>
      <x:c r="O16" s="12" t="n">
        <x:v>3</x:v>
      </x:c>
      <x:c r="P16" s="14" t="n">
        <x:v>17</x:v>
      </x:c>
      <x:c r="Q16" s="21" t="n">
        <x:f>H16*P16</x:f>
        <x:v>1271.6</x:v>
      </x:c>
      <x:c r="R16" s="22" t="n">
        <x:f>Q16*12/G16</x:f>
        <x:v>0.03468788360991134</x:v>
      </x:c>
      <x:c r="S16" s="23" t="n">
        <x:f>G16/(Q16*12)</x:f>
        <x:v>28.828510013631124</x:v>
      </x:c>
      <x:c r="T16" s="12" t="str">
        <x:v>Mai 2028</x:v>
      </x:c>
      <x:c r="U16" s="13"/>
      <x:c r="V16" s="12" t="str">
        <x:v>项目页单元示例</x:v>
      </x:c>
      <x:c r="W16" s="12" t="str">
        <x:v>项目页列示，实际可售待确认</x:v>
      </x:c>
      <x:c r="X16" s="12" t="str">
        <x:v>2026-10-06</x:v>
      </x:c>
      <x:c r="Y16" s="12" t="str">
        <x:v>https://www.neubaukompass.de/neubau/waldpanorama-berlin/148531.html</x:v>
      </x:c>
      <x:c r="Z16" s="12" t="str">
        <x:v>项目页列示单元价格与面积；单套页面未能读取。实际可售和实际建造年待确认。</x:v>
      </x:c>
    </x:row>
    <x:row r="17">
      <x:c r="A17" s="12" t="str">
        <x:v>NBK-168982576</x:v>
      </x:c>
      <x:c r="B17" s="12" t="str">
        <x:v>Reinickendorf</x:v>
      </x:c>
      <x:c r="C17" s="12" t="str">
        <x:v>Tegel</x:v>
      </x:c>
      <x:c r="D17" s="12" t="str">
        <x:v>Borsig Green Living</x:v>
      </x:c>
      <x:c r="E17" s="12" t="str">
        <x:v>2 Zimmer / 5445#SrvlKa</x:v>
      </x:c>
      <x:c r="F17" s="12" t="str">
        <x:v>Egellsstr. 6-8 · 13507</x:v>
      </x:c>
      <x:c r="G17" s="13" t="n">
        <x:v>302900</x:v>
      </x:c>
      <x:c r="H17" s="14" t="n">
        <x:v>51.33</x:v>
      </x:c>
      <x:c r="I17" s="19" t="n">
        <x:f>G17/H17</x:f>
        <x:v>5901.0325345801675</x:v>
      </x:c>
      <x:c r="J17" s="15"/>
      <x:c r="K17" s="20" t="str">
        <x:f>IF(J17="","",$H$5-J17)</x:f>
      </x:c>
      <x:c r="L17" s="15" t="n">
        <x:v>2027</x:v>
      </x:c>
      <x:c r="M17" s="12" t="str">
        <x:v>期房-待交付</x:v>
      </x:c>
      <x:c r="N17" s="12" t="str">
        <x:v>开发商直售或项目页</x:v>
      </x:c>
      <x:c r="O17" s="12" t="n">
        <x:v>2</x:v>
      </x:c>
      <x:c r="P17" s="14" t="n">
        <x:v>12.8</x:v>
      </x:c>
      <x:c r="Q17" s="21" t="n">
        <x:f>H17*P17</x:f>
        <x:v>657.024</x:v>
      </x:c>
      <x:c r="R17" s="22" t="n">
        <x:f>Q17*12/G17</x:f>
        <x:v>0.026029343017497524</x:v>
      </x:c>
      <x:c r="S17" s="23" t="n">
        <x:f>G17/(Q17*12)</x:f>
        <x:v>38.41818056367296</x:v>
      </x:c>
      <x:c r="T17" s="12" t="str">
        <x:v>Q3 2027</x:v>
      </x:c>
      <x:c r="U17" s="13"/>
      <x:c r="V17" s="12" t="str">
        <x:v>单套页面</x:v>
      </x:c>
      <x:c r="W17" s="12" t="str">
        <x:v>页面可见，实际可售待确认</x:v>
      </x:c>
      <x:c r="X17" s="12" t="str">
        <x:v>2026-10-03</x:v>
      </x:c>
      <x:c r="Y17" s="12" t="str">
        <x:v>https://www.neubaukompass.de/neubau/borsig-green-living-berlin/148769/expose-168982576/</x:v>
      </x:c>
      <x:c r="Z17" s="12" t="str">
        <x:v>开发商确认实际可售、交付及Hausgeld待核实</x:v>
      </x:c>
    </x:row>
    <x:row r="18">
      <x:c r="A18" s="12" t="str">
        <x:v>NBK-WP-56.9</x:v>
      </x:c>
      <x:c r="B18" s="12" t="str">
        <x:v>Pankow</x:v>
      </x:c>
      <x:c r="C18" s="12" t="str">
        <x:v>Buch</x:v>
      </x:c>
      <x:c r="D18" s="12" t="str">
        <x:v>Waldpanorama</x:v>
      </x:c>
      <x:c r="E18" s="12" t="str">
        <x:v>2 Zimmer 56.9</x:v>
      </x:c>
      <x:c r="F18" s="12" t="str">
        <x:v>Wiltbergstraße 100 · 13125</x:v>
      </x:c>
      <x:c r="G18" s="13" t="n">
        <x:v>339900</x:v>
      </x:c>
      <x:c r="H18" s="14" t="n">
        <x:v>56.9</x:v>
      </x:c>
      <x:c r="I18" s="19" t="n">
        <x:f>G18/H18</x:f>
        <x:v>5973.637961335677</x:v>
      </x:c>
      <x:c r="J18" s="15"/>
      <x:c r="K18" s="20" t="str">
        <x:f>IF(J18="","",$H$5-J18)</x:f>
      </x:c>
      <x:c r="L18" s="15" t="n">
        <x:v>2028</x:v>
      </x:c>
      <x:c r="M18" s="12" t="str">
        <x:v>期房-待交付</x:v>
      </x:c>
      <x:c r="N18" s="12" t="str">
        <x:v>开发商直售或项目页</x:v>
      </x:c>
      <x:c r="O18" s="12" t="n">
        <x:v>2</x:v>
      </x:c>
      <x:c r="P18" s="14" t="n">
        <x:v>17</x:v>
      </x:c>
      <x:c r="Q18" s="21" t="n">
        <x:f>H18*P18</x:f>
        <x:v>967.3</x:v>
      </x:c>
      <x:c r="R18" s="22" t="n">
        <x:f>Q18*12/G18</x:f>
        <x:v>0.03415004413062665</x:v>
      </x:c>
      <x:c r="S18" s="23" t="n">
        <x:f>G18/(Q18*12)</x:f>
        <x:v>29.28253902615528</x:v>
      </x:c>
      <x:c r="T18" s="12" t="str">
        <x:v>Mai 2028</x:v>
      </x:c>
      <x:c r="U18" s="13"/>
      <x:c r="V18" s="12" t="str">
        <x:v>项目页单元示例</x:v>
      </x:c>
      <x:c r="W18" s="12" t="str">
        <x:v>页面可见，实际可售待确认</x:v>
      </x:c>
      <x:c r="X18" s="12" t="str">
        <x:v>2026-10-03</x:v>
      </x:c>
      <x:c r="Y18" s="12" t="str">
        <x:v>https://www.neubaukompass.de/neubau/waldpanorama-berlin/148531.html</x:v>
      </x:c>
      <x:c r="Z18" s="12" t="str">
        <x:v>单套ID/价格清单需开发商确认</x:v>
      </x:c>
    </x:row>
    <x:row r="19">
      <x:c r="A19" s="12" t="str">
        <x:v>NBK-WP-69.3-419900</x:v>
      </x:c>
      <x:c r="B19" s="12" t="str">
        <x:v>Pankow</x:v>
      </x:c>
      <x:c r="C19" s="12" t="str">
        <x:v>Buch</x:v>
      </x:c>
      <x:c r="D19" s="12" t="str">
        <x:v>Waldpanorama</x:v>
      </x:c>
      <x:c r="E19" s="12" t="str">
        <x:v>69.3-419900</x:v>
      </x:c>
      <x:c r="F19" s="12" t="str">
        <x:v>Wiltbergstraße 100 · 13125</x:v>
      </x:c>
      <x:c r="G19" s="13" t="n">
        <x:v>419900</x:v>
      </x:c>
      <x:c r="H19" s="14" t="n">
        <x:v>69.3</x:v>
      </x:c>
      <x:c r="I19" s="19" t="n">
        <x:f>G19/H19</x:f>
        <x:v>6059.163059163059</x:v>
      </x:c>
      <x:c r="J19" s="15"/>
      <x:c r="K19" s="20" t="str">
        <x:f>IF(J19="","",$H$5-J19)</x:f>
      </x:c>
      <x:c r="L19" s="15" t="n">
        <x:v>2028</x:v>
      </x:c>
      <x:c r="M19" s="12" t="str">
        <x:v>期房-待交付</x:v>
      </x:c>
      <x:c r="N19" s="12" t="str">
        <x:v>开发商直售或项目页</x:v>
      </x:c>
      <x:c r="O19" s="12" t="n">
        <x:v>3</x:v>
      </x:c>
      <x:c r="P19" s="14" t="n">
        <x:v>17</x:v>
      </x:c>
      <x:c r="Q19" s="21" t="n">
        <x:f>H19*P19</x:f>
        <x:v>1178.1</x:v>
      </x:c>
      <x:c r="R19" s="22" t="n">
        <x:f>Q19*12/G19</x:f>
        <x:v>0.03366801619433198</x:v>
      </x:c>
      <x:c r="S19" s="23" t="n">
        <x:f>G19/(Q19*12)</x:f>
        <x:v>29.701779701779703</x:v>
      </x:c>
      <x:c r="T19" s="12" t="str">
        <x:v>Mai 2028</x:v>
      </x:c>
      <x:c r="U19" s="13"/>
      <x:c r="V19" s="12" t="str">
        <x:v>项目页单元示例</x:v>
      </x:c>
      <x:c r="W19" s="12" t="str">
        <x:v>项目页列示，实际可售待确认</x:v>
      </x:c>
      <x:c r="X19" s="12" t="str">
        <x:v>2026-10-06</x:v>
      </x:c>
      <x:c r="Y19" s="12" t="str">
        <x:v>https://www.neubaukompass.de/neubau/waldpanorama-berlin/148531.html</x:v>
      </x:c>
      <x:c r="Z19" s="12" t="str">
        <x:v>项目页列示单元价格与面积；单套页面未能读取。实际可售和实际建造年待确认。</x:v>
      </x:c>
    </x:row>
    <x:row r="20">
      <x:c r="A20" s="12" t="str">
        <x:v>NBK-WP-63-389900</x:v>
      </x:c>
      <x:c r="B20" s="12" t="str">
        <x:v>Pankow</x:v>
      </x:c>
      <x:c r="C20" s="12" t="str">
        <x:v>Buch</x:v>
      </x:c>
      <x:c r="D20" s="12" t="str">
        <x:v>Waldpanorama</x:v>
      </x:c>
      <x:c r="E20" s="12" t="str">
        <x:v>63-389900</x:v>
      </x:c>
      <x:c r="F20" s="12" t="str">
        <x:v>Wiltbergstraße 100 · 13125</x:v>
      </x:c>
      <x:c r="G20" s="13" t="n">
        <x:v>389900</x:v>
      </x:c>
      <x:c r="H20" s="14" t="n">
        <x:v>63</x:v>
      </x:c>
      <x:c r="I20" s="19" t="n">
        <x:f>G20/H20</x:f>
        <x:v>6188.888888888889</x:v>
      </x:c>
      <x:c r="J20" s="15"/>
      <x:c r="K20" s="20" t="str">
        <x:f>IF(J20="","",$H$5-J20)</x:f>
      </x:c>
      <x:c r="L20" s="15" t="n">
        <x:v>2028</x:v>
      </x:c>
      <x:c r="M20" s="12" t="str">
        <x:v>期房-待交付</x:v>
      </x:c>
      <x:c r="N20" s="12" t="str">
        <x:v>开发商直售或项目页</x:v>
      </x:c>
      <x:c r="O20" s="12" t="n">
        <x:v>2.5</x:v>
      </x:c>
      <x:c r="P20" s="14" t="n">
        <x:v>17</x:v>
      </x:c>
      <x:c r="Q20" s="21" t="n">
        <x:f>H20*P20</x:f>
        <x:v>1071</x:v>
      </x:c>
      <x:c r="R20" s="22" t="n">
        <x:f>Q20*12/G20</x:f>
        <x:v>0.03296229802513465</x:v>
      </x:c>
      <x:c r="S20" s="23" t="n">
        <x:f>G20/(Q20*12)</x:f>
        <x:v>30.33769063180828</x:v>
      </x:c>
      <x:c r="T20" s="12" t="str">
        <x:v>Mai 2028</x:v>
      </x:c>
      <x:c r="U20" s="13"/>
      <x:c r="V20" s="12" t="str">
        <x:v>项目页单元示例</x:v>
      </x:c>
      <x:c r="W20" s="12" t="str">
        <x:v>项目页列示，实际可售待确认</x:v>
      </x:c>
      <x:c r="X20" s="12" t="str">
        <x:v>2026-10-06</x:v>
      </x:c>
      <x:c r="Y20" s="12" t="str">
        <x:v>https://www.neubaukompass.de/neubau/waldpanorama-berlin/148531.html</x:v>
      </x:c>
      <x:c r="Z20" s="12" t="str">
        <x:v>项目页列示单元价格与面积；单套页面未能读取。实际可售和实际建造年待确认。</x:v>
      </x:c>
    </x:row>
    <x:row r="21">
      <x:c r="A21" s="12" t="str">
        <x:v>NBK-WP-63.9</x:v>
      </x:c>
      <x:c r="B21" s="12" t="str">
        <x:v>Pankow</x:v>
      </x:c>
      <x:c r="C21" s="12" t="str">
        <x:v>Buch</x:v>
      </x:c>
      <x:c r="D21" s="12" t="str">
        <x:v>Waldpanorama</x:v>
      </x:c>
      <x:c r="E21" s="12" t="str">
        <x:v>3 Zimmer 63.9</x:v>
      </x:c>
      <x:c r="F21" s="12" t="str">
        <x:v>Wiltbergstraße 100 · 13125</x:v>
      </x:c>
      <x:c r="G21" s="13" t="n">
        <x:v>399900</x:v>
      </x:c>
      <x:c r="H21" s="14" t="n">
        <x:v>63.9</x:v>
      </x:c>
      <x:c r="I21" s="19" t="n">
        <x:f>G21/H21</x:f>
        <x:v>6258.215962441314</x:v>
      </x:c>
      <x:c r="J21" s="15"/>
      <x:c r="K21" s="20" t="str">
        <x:f>IF(J21="","",$H$5-J21)</x:f>
      </x:c>
      <x:c r="L21" s="15" t="n">
        <x:v>2028</x:v>
      </x:c>
      <x:c r="M21" s="12" t="str">
        <x:v>期房-待交付</x:v>
      </x:c>
      <x:c r="N21" s="12" t="str">
        <x:v>开发商直售或项目页</x:v>
      </x:c>
      <x:c r="O21" s="12" t="n">
        <x:v>3</x:v>
      </x:c>
      <x:c r="P21" s="14" t="n">
        <x:v>17</x:v>
      </x:c>
      <x:c r="Q21" s="21" t="n">
        <x:f>H21*P21</x:f>
        <x:v>1086.3</x:v>
      </x:c>
      <x:c r="R21" s="22" t="n">
        <x:f>Q21*12/G21</x:f>
        <x:v>0.032597149287321825</x:v>
      </x:c>
      <x:c r="S21" s="23" t="n">
        <x:f>G21/(Q21*12)</x:f>
        <x:v>30.677529227653505</x:v>
      </x:c>
      <x:c r="T21" s="12" t="str">
        <x:v>Mai 2028</x:v>
      </x:c>
      <x:c r="U21" s="13"/>
      <x:c r="V21" s="12" t="str">
        <x:v>项目页单元示例</x:v>
      </x:c>
      <x:c r="W21" s="12" t="str">
        <x:v>页面可见，实际可售待确认</x:v>
      </x:c>
      <x:c r="X21" s="12" t="str">
        <x:v>2026-10-03</x:v>
      </x:c>
      <x:c r="Y21" s="12" t="str">
        <x:v>https://www.neubaukompass.de/neubau/waldpanorama-berlin/148531.html</x:v>
      </x:c>
      <x:c r="Z21" s="12" t="str">
        <x:v>单套ID/价格清单需开发商确认</x:v>
      </x:c>
    </x:row>
    <x:row r="22">
      <x:c r="A22" s="12" t="str">
        <x:v>NBK-WP-61.5-389900</x:v>
      </x:c>
      <x:c r="B22" s="12" t="str">
        <x:v>Pankow</x:v>
      </x:c>
      <x:c r="C22" s="12" t="str">
        <x:v>Buch</x:v>
      </x:c>
      <x:c r="D22" s="12" t="str">
        <x:v>Waldpanorama</x:v>
      </x:c>
      <x:c r="E22" s="12" t="str">
        <x:v>61.5-389900</x:v>
      </x:c>
      <x:c r="F22" s="12" t="str">
        <x:v>Wiltbergstraße 100 · 13125</x:v>
      </x:c>
      <x:c r="G22" s="13" t="n">
        <x:v>389900</x:v>
      </x:c>
      <x:c r="H22" s="14" t="n">
        <x:v>61.5</x:v>
      </x:c>
      <x:c r="I22" s="19" t="n">
        <x:f>G22/H22</x:f>
        <x:v>6339.837398373984</x:v>
      </x:c>
      <x:c r="J22" s="15"/>
      <x:c r="K22" s="20" t="str">
        <x:f>IF(J22="","",$H$5-J22)</x:f>
      </x:c>
      <x:c r="L22" s="15" t="n">
        <x:v>2028</x:v>
      </x:c>
      <x:c r="M22" s="12" t="str">
        <x:v>期房-待交付</x:v>
      </x:c>
      <x:c r="N22" s="12" t="str">
        <x:v>开发商直售或项目页</x:v>
      </x:c>
      <x:c r="O22" s="12" t="n">
        <x:v>2.5</x:v>
      </x:c>
      <x:c r="P22" s="14" t="n">
        <x:v>17</x:v>
      </x:c>
      <x:c r="Q22" s="21" t="n">
        <x:f>H22*P22</x:f>
        <x:v>1045.5</x:v>
      </x:c>
      <x:c r="R22" s="22" t="n">
        <x:f>Q22*12/G22</x:f>
        <x:v>0.03217748140548859</x:v>
      </x:c>
      <x:c r="S22" s="23" t="n">
        <x:f>G22/(Q22*12)</x:f>
        <x:v>31.077634305754824</x:v>
      </x:c>
      <x:c r="T22" s="12" t="str">
        <x:v>Mai 2028</x:v>
      </x:c>
      <x:c r="U22" s="13"/>
      <x:c r="V22" s="12" t="str">
        <x:v>项目页单元示例</x:v>
      </x:c>
      <x:c r="W22" s="12" t="str">
        <x:v>项目页列示，实际可售待确认</x:v>
      </x:c>
      <x:c r="X22" s="12" t="str">
        <x:v>2026-10-06</x:v>
      </x:c>
      <x:c r="Y22" s="12" t="str">
        <x:v>https://www.neubaukompass.de/neubau/waldpanorama-berlin/148531.html</x:v>
      </x:c>
      <x:c r="Z22" s="12" t="str">
        <x:v>项目页列示单元价格与面积；单套页面未能读取。实际可售和实际建造年待确认。</x:v>
      </x:c>
    </x:row>
    <x:row r="23">
      <x:c r="A23" s="12" t="str">
        <x:v>NBK-BGL-168982546</x:v>
      </x:c>
      <x:c r="B23" s="12" t="str">
        <x:v>Reinickendorf</x:v>
      </x:c>
      <x:c r="C23" s="12" t="str">
        <x:v>Tegel</x:v>
      </x:c>
      <x:c r="D23" s="12" t="str">
        <x:v>Borsig Green Living</x:v>
      </x:c>
      <x:c r="E23" s="12" t="str">
        <x:v>2 Zimmer / Terrasse 46.87</x:v>
      </x:c>
      <x:c r="F23" s="12" t="str">
        <x:v>Egellsstr. 6-8 · 13507</x:v>
      </x:c>
      <x:c r="G23" s="13" t="n">
        <x:v>299900</x:v>
      </x:c>
      <x:c r="H23" s="14" t="n">
        <x:v>46.87</x:v>
      </x:c>
      <x:c r="I23" s="19" t="n">
        <x:f>G23/H23</x:f>
        <x:v>6398.549178579049</x:v>
      </x:c>
      <x:c r="J23" s="15"/>
      <x:c r="K23" s="20" t="str">
        <x:f>IF(J23="","",$H$5-J23)</x:f>
      </x:c>
      <x:c r="L23" s="15" t="n">
        <x:v>2027</x:v>
      </x:c>
      <x:c r="M23" s="12" t="str">
        <x:v>期房-待交付</x:v>
      </x:c>
      <x:c r="N23" s="12" t="str">
        <x:v>开发商直售或项目页</x:v>
      </x:c>
      <x:c r="O23" s="12" t="n">
        <x:v>2</x:v>
      </x:c>
      <x:c r="P23" s="14" t="n">
        <x:v>12.8</x:v>
      </x:c>
      <x:c r="Q23" s="21" t="n">
        <x:f>H23*P23</x:f>
        <x:v>599.936</x:v>
      </x:c>
      <x:c r="R23" s="22" t="n">
        <x:f>Q23*12/G23</x:f>
        <x:v>0.02400544181393798</x:v>
      </x:c>
      <x:c r="S23" s="23" t="n">
        <x:f>G23/(Q23*12)</x:f>
        <x:v>41.65722121470735</x:v>
      </x:c>
      <x:c r="T23" s="12" t="str">
        <x:v>Q3 2027</x:v>
      </x:c>
      <x:c r="U23" s="13"/>
      <x:c r="V23" s="12" t="str">
        <x:v>项目页单元示例</x:v>
      </x:c>
      <x:c r="W23" s="12" t="str">
        <x:v>页面可见，实际可售待确认</x:v>
      </x:c>
      <x:c r="X23" s="12" t="str">
        <x:v>2026-10-03</x:v>
      </x:c>
      <x:c r="Y23" s="12" t="str">
        <x:v>https://www.neubaukompass.de/neubau/borsig-green-living-berlin/148769/expose-168982546/</x:v>
      </x:c>
      <x:c r="Z23" s="12" t="str">
        <x:v>单套链接页面本次未能加载；以项目页单元示例为准，需再核实</x:v>
      </x:c>
    </x:row>
    <x:row r="24">
      <x:c r="A24" s="12" t="str">
        <x:v>NBK-168982557</x:v>
      </x:c>
      <x:c r="B24" s="12" t="str">
        <x:v>Reinickendorf</x:v>
      </x:c>
      <x:c r="C24" s="12" t="str">
        <x:v>Tegel</x:v>
      </x:c>
      <x:c r="D24" s="12" t="str">
        <x:v>Borsig Green Living</x:v>
      </x:c>
      <x:c r="E24" s="12" t="str">
        <x:v>项目单元 168982557</x:v>
      </x:c>
      <x:c r="F24" s="12" t="str">
        <x:v>Egellsstr. 6-8 · 13507</x:v>
      </x:c>
      <x:c r="G24" s="13" t="n">
        <x:v>303300</x:v>
      </x:c>
      <x:c r="H24" s="14" t="n">
        <x:v>46.87</x:v>
      </x:c>
      <x:c r="I24" s="19" t="n">
        <x:f>G24/H24</x:f>
        <x:v>6471.090249626627</x:v>
      </x:c>
      <x:c r="J24" s="15"/>
      <x:c r="K24" s="20" t="str">
        <x:f>IF(J24="","",$H$5-J24)</x:f>
      </x:c>
      <x:c r="L24" s="15" t="n">
        <x:v>2027</x:v>
      </x:c>
      <x:c r="M24" s="12" t="str">
        <x:v>期房-待交付</x:v>
      </x:c>
      <x:c r="N24" s="12" t="str">
        <x:v>开发商直售或项目页</x:v>
      </x:c>
      <x:c r="O24" s="12" t="n">
        <x:v>2</x:v>
      </x:c>
      <x:c r="P24" s="14" t="n">
        <x:v>12.8</x:v>
      </x:c>
      <x:c r="Q24" s="21" t="n">
        <x:f>H24*P24</x:f>
        <x:v>599.936</x:v>
      </x:c>
      <x:c r="R24" s="22" t="n">
        <x:f>Q24*12/G24</x:f>
        <x:v>0.02373634025717112</x:v>
      </x:c>
      <x:c r="S24" s="23" t="n">
        <x:f>G24/(Q24*12)</x:f>
        <x:v>42.12949381267335</x:v>
      </x:c>
      <x:c r="T24" s="12" t="str">
        <x:v>Q3 2027</x:v>
      </x:c>
      <x:c r="U24" s="13"/>
      <x:c r="V24" s="12" t="str">
        <x:v>项目页单元示例</x:v>
      </x:c>
      <x:c r="W24" s="12" t="str">
        <x:v>项目页列示，实际可售待确认</x:v>
      </x:c>
      <x:c r="X24" s="12" t="str">
        <x:v>2026-10-06</x:v>
      </x:c>
      <x:c r="Y24" s="12" t="str">
        <x:v>https://www.neubaukompass.de/neubau/borsig-green-living-berlin/148769.html</x:v>
      </x:c>
      <x:c r="Z24" s="12" t="str">
        <x:v>项目页列示单元价格与面积；单套页面未能读取。实际可售和实际建造年待确认。</x:v>
      </x:c>
    </x:row>
    <x:row r="25">
      <x:c r="A25" s="12" t="str">
        <x:v>NBK-WP-45.2</x:v>
      </x:c>
      <x:c r="B25" s="12" t="str">
        <x:v>Pankow</x:v>
      </x:c>
      <x:c r="C25" s="12" t="str">
        <x:v>Buch</x:v>
      </x:c>
      <x:c r="D25" s="12" t="str">
        <x:v>Waldpanorama</x:v>
      </x:c>
      <x:c r="E25" s="12" t="str">
        <x:v>2 Zimmer 45.2</x:v>
      </x:c>
      <x:c r="F25" s="12" t="str">
        <x:v>Wiltbergstraße 100 · 13125</x:v>
      </x:c>
      <x:c r="G25" s="13" t="n">
        <x:v>299900</x:v>
      </x:c>
      <x:c r="H25" s="14" t="n">
        <x:v>45.2</x:v>
      </x:c>
      <x:c r="I25" s="19" t="n">
        <x:f>G25/H25</x:f>
        <x:v>6634.955752212389</x:v>
      </x:c>
      <x:c r="J25" s="15"/>
      <x:c r="K25" s="20" t="str">
        <x:f>IF(J25="","",$H$5-J25)</x:f>
      </x:c>
      <x:c r="L25" s="15" t="n">
        <x:v>2028</x:v>
      </x:c>
      <x:c r="M25" s="12" t="str">
        <x:v>期房-待交付</x:v>
      </x:c>
      <x:c r="N25" s="12" t="str">
        <x:v>开发商直售或项目页</x:v>
      </x:c>
      <x:c r="O25" s="12" t="n">
        <x:v>2</x:v>
      </x:c>
      <x:c r="P25" s="14" t="n">
        <x:v>17</x:v>
      </x:c>
      <x:c r="Q25" s="21" t="n">
        <x:f>H25*P25</x:f>
        <x:v>768.4000000000001</x:v>
      </x:c>
      <x:c r="R25" s="22" t="n">
        <x:f>Q25*12/G25</x:f>
        <x:v>0.030746248749583198</x:v>
      </x:c>
      <x:c r="S25" s="23" t="n">
        <x:f>G25/(Q25*12)</x:f>
        <x:v>32.52429290300191</x:v>
      </x:c>
      <x:c r="T25" s="12" t="str">
        <x:v>Mai 2028</x:v>
      </x:c>
      <x:c r="U25" s="13"/>
      <x:c r="V25" s="12" t="str">
        <x:v>项目页单元示例</x:v>
      </x:c>
      <x:c r="W25" s="12" t="str">
        <x:v>页面可见，实际可售待确认</x:v>
      </x:c>
      <x:c r="X25" s="12" t="str">
        <x:v>2026-10-03</x:v>
      </x:c>
      <x:c r="Y25" s="12" t="str">
        <x:v>https://www.neubaukompass.de/neubau/waldpanorama-berlin/148531.html</x:v>
      </x:c>
      <x:c r="Z25" s="12" t="str">
        <x:v>单套ID/价格清单需开发商确认</x:v>
      </x:c>
    </x:row>
    <x:row r="26">
      <x:c r="A26" s="12" t="str">
        <x:v>NBK-168982516</x:v>
      </x:c>
      <x:c r="B26" s="12" t="str">
        <x:v>Reinickendorf</x:v>
      </x:c>
      <x:c r="C26" s="12" t="str">
        <x:v>Tegel</x:v>
      </x:c>
      <x:c r="D26" s="12" t="str">
        <x:v>Borsig Green Living</x:v>
      </x:c>
      <x:c r="E26" s="12" t="str">
        <x:v>项目单元 168982516</x:v>
      </x:c>
      <x:c r="F26" s="12" t="str">
        <x:v>Egellsstr. 6-8 · 13507</x:v>
      </x:c>
      <x:c r="G26" s="13" t="n">
        <x:v>348900</x:v>
      </x:c>
      <x:c r="H26" s="14" t="n">
        <x:v>51.67</x:v>
      </x:c>
      <x:c r="I26" s="19" t="n">
        <x:f>G26/H26</x:f>
        <x:v>6752.467582736597</x:v>
      </x:c>
      <x:c r="J26" s="15"/>
      <x:c r="K26" s="20" t="str">
        <x:f>IF(J26="","",$H$5-J26)</x:f>
      </x:c>
      <x:c r="L26" s="15" t="n">
        <x:v>2027</x:v>
      </x:c>
      <x:c r="M26" s="12" t="str">
        <x:v>期房-待交付</x:v>
      </x:c>
      <x:c r="N26" s="12" t="str">
        <x:v>开发商直售或项目页</x:v>
      </x:c>
      <x:c r="O26" s="12" t="n">
        <x:v>2</x:v>
      </x:c>
      <x:c r="P26" s="14" t="n">
        <x:v>12.8</x:v>
      </x:c>
      <x:c r="Q26" s="21" t="n">
        <x:f>H26*P26</x:f>
        <x:v>661.3760000000001</x:v>
      </x:c>
      <x:c r="R26" s="22" t="n">
        <x:f>Q26*12/G26</x:f>
        <x:v>0.022747239896818573</x:v>
      </x:c>
      <x:c r="S26" s="23" t="n">
        <x:f>G26/(Q26*12)</x:f>
        <x:v>43.96137749177472</x:v>
      </x:c>
      <x:c r="T26" s="12" t="str">
        <x:v>Q3 2027</x:v>
      </x:c>
      <x:c r="U26" s="13"/>
      <x:c r="V26" s="12" t="str">
        <x:v>项目页单元示例</x:v>
      </x:c>
      <x:c r="W26" s="12" t="str">
        <x:v>项目页列示，实际可售待确认</x:v>
      </x:c>
      <x:c r="X26" s="12" t="str">
        <x:v>2026-10-06</x:v>
      </x:c>
      <x:c r="Y26" s="12" t="str">
        <x:v>https://www.neubaukompass.de/neubau/borsig-green-living-berlin/148769.html</x:v>
      </x:c>
      <x:c r="Z26" s="12" t="str">
        <x:v>项目页列示单元价格与面积；单套页面未能读取。实际可售和实际建造年待确认。</x:v>
      </x:c>
    </x:row>
    <x:row r="27">
      <x:c r="A27" s="12" t="str">
        <x:v>NBK-168966995</x:v>
      </x:c>
      <x:c r="B27" s="12" t="str">
        <x:v>Reinickendorf</x:v>
      </x:c>
      <x:c r="C27" s="12" t="str">
        <x:v>Tegel</x:v>
      </x:c>
      <x:c r="D27" s="12" t="str">
        <x:v>Borsig Green Living</x:v>
      </x:c>
      <x:c r="E27" s="12" t="str">
        <x:v>项目单元 168966995</x:v>
      </x:c>
      <x:c r="F27" s="12" t="str">
        <x:v>Egellsstr. 6-8 · 13507</x:v>
      </x:c>
      <x:c r="G27" s="13" t="n">
        <x:v>324900</x:v>
      </x:c>
      <x:c r="H27" s="14" t="n">
        <x:v>45.21</x:v>
      </x:c>
      <x:c r="I27" s="19" t="n">
        <x:f>G27/H27</x:f>
        <x:v>7186.4631718646315</x:v>
      </x:c>
      <x:c r="J27" s="15"/>
      <x:c r="K27" s="20" t="str">
        <x:f>IF(J27="","",$H$5-J27)</x:f>
      </x:c>
      <x:c r="L27" s="15" t="n">
        <x:v>2027</x:v>
      </x:c>
      <x:c r="M27" s="12" t="str">
        <x:v>期房-待交付</x:v>
      </x:c>
      <x:c r="N27" s="12" t="str">
        <x:v>开发商直售或项目页</x:v>
      </x:c>
      <x:c r="O27" s="12" t="n">
        <x:v>2</x:v>
      </x:c>
      <x:c r="P27" s="14" t="n">
        <x:v>12.8</x:v>
      </x:c>
      <x:c r="Q27" s="21" t="n">
        <x:f>H27*P27</x:f>
        <x:v>578.688</x:v>
      </x:c>
      <x:c r="R27" s="22" t="n">
        <x:f>Q27*12/G27</x:f>
        <x:v>0.021373518005540163</x:v>
      </x:c>
      <x:c r="S27" s="23" t="n">
        <x:f>G27/(Q27*12)</x:f>
        <x:v>46.7868696084937</x:v>
      </x:c>
      <x:c r="T27" s="12" t="str">
        <x:v>Q3 2027</x:v>
      </x:c>
      <x:c r="U27" s="13"/>
      <x:c r="V27" s="12" t="str">
        <x:v>项目页单元示例</x:v>
      </x:c>
      <x:c r="W27" s="12" t="str">
        <x:v>项目页列示，实际可售待确认</x:v>
      </x:c>
      <x:c r="X27" s="12" t="str">
        <x:v>2026-10-06</x:v>
      </x:c>
      <x:c r="Y27" s="12" t="str">
        <x:v>https://www.neubaukompass.de/neubau/borsig-green-living-berlin/148769.html</x:v>
      </x:c>
      <x:c r="Z27" s="12" t="str">
        <x:v>项目页列示单元价格与面积；单套页面未能读取。实际可售和实际建造年待确认。</x:v>
      </x:c>
    </x:row>
    <x:row r="28">
      <x:c r="A28" s="12" t="str">
        <x:v>NBK-168982612</x:v>
      </x:c>
      <x:c r="B28" s="12" t="str">
        <x:v>Reinickendorf</x:v>
      </x:c>
      <x:c r="C28" s="12" t="str">
        <x:v>Tegel</x:v>
      </x:c>
      <x:c r="D28" s="12" t="str">
        <x:v>Borsig Green Living</x:v>
      </x:c>
      <x:c r="E28" s="12" t="str">
        <x:v>项目单元 168982612</x:v>
      </x:c>
      <x:c r="F28" s="12" t="str">
        <x:v>Egellsstr. 6-8 · 13507</x:v>
      </x:c>
      <x:c r="G28" s="13" t="n">
        <x:v>324900</x:v>
      </x:c>
      <x:c r="H28" s="14" t="n">
        <x:v>45.21</x:v>
      </x:c>
      <x:c r="I28" s="19" t="n">
        <x:f>G28/H28</x:f>
        <x:v>7186.4631718646315</x:v>
      </x:c>
      <x:c r="J28" s="15"/>
      <x:c r="K28" s="20" t="str">
        <x:f>IF(J28="","",$H$5-J28)</x:f>
      </x:c>
      <x:c r="L28" s="15" t="n">
        <x:v>2027</x:v>
      </x:c>
      <x:c r="M28" s="12" t="str">
        <x:v>期房-待交付</x:v>
      </x:c>
      <x:c r="N28" s="12" t="str">
        <x:v>开发商直售或项目页</x:v>
      </x:c>
      <x:c r="O28" s="12" t="n">
        <x:v>2</x:v>
      </x:c>
      <x:c r="P28" s="14" t="n">
        <x:v>12.8</x:v>
      </x:c>
      <x:c r="Q28" s="21" t="n">
        <x:f>H28*P28</x:f>
        <x:v>578.688</x:v>
      </x:c>
      <x:c r="R28" s="22" t="n">
        <x:f>Q28*12/G28</x:f>
        <x:v>0.021373518005540163</x:v>
      </x:c>
      <x:c r="S28" s="23" t="n">
        <x:f>G28/(Q28*12)</x:f>
        <x:v>46.7868696084937</x:v>
      </x:c>
      <x:c r="T28" s="12" t="str">
        <x:v>Q3 2027</x:v>
      </x:c>
      <x:c r="U28" s="13"/>
      <x:c r="V28" s="12" t="str">
        <x:v>项目页单元示例</x:v>
      </x:c>
      <x:c r="W28" s="12" t="str">
        <x:v>项目页列示，实际可售待确认</x:v>
      </x:c>
      <x:c r="X28" s="12" t="str">
        <x:v>2026-10-06</x:v>
      </x:c>
      <x:c r="Y28" s="12" t="str">
        <x:v>https://www.neubaukompass.de/neubau/borsig-green-living-berlin/148769.html</x:v>
      </x:c>
      <x:c r="Z28" s="12" t="str">
        <x:v>项目页列示单元价格与面积；单套页面未能读取。实际可售和实际建造年待确认。</x:v>
      </x:c>
    </x:row>
    <x:row r="29">
      <x:c r="A29" s="12" t="str">
        <x:v>NBK-168966990</x:v>
      </x:c>
      <x:c r="B29" s="12" t="str">
        <x:v>Reinickendorf</x:v>
      </x:c>
      <x:c r="C29" s="12" t="str">
        <x:v>Tegel</x:v>
      </x:c>
      <x:c r="D29" s="12" t="str">
        <x:v>Borsig Green Living</x:v>
      </x:c>
      <x:c r="E29" s="12" t="str">
        <x:v>项目单元 168966990</x:v>
      </x:c>
      <x:c r="F29" s="12" t="str">
        <x:v>Egellsstr. 6-8 · 13507</x:v>
      </x:c>
      <x:c r="G29" s="13" t="n">
        <x:v>324900</x:v>
      </x:c>
      <x:c r="H29" s="14" t="n">
        <x:v>45.13</x:v>
      </x:c>
      <x:c r="I29" s="19" t="n">
        <x:f>G29/H29</x:f>
        <x:v>7199.2023044538</x:v>
      </x:c>
      <x:c r="J29" s="15"/>
      <x:c r="K29" s="20" t="str">
        <x:f>IF(J29="","",$H$5-J29)</x:f>
      </x:c>
      <x:c r="L29" s="15" t="n">
        <x:v>2027</x:v>
      </x:c>
      <x:c r="M29" s="12" t="str">
        <x:v>期房-待交付</x:v>
      </x:c>
      <x:c r="N29" s="12" t="str">
        <x:v>开发商直售或项目页</x:v>
      </x:c>
      <x:c r="O29" s="12" t="n">
        <x:v>2</x:v>
      </x:c>
      <x:c r="P29" s="14" t="n">
        <x:v>12.8</x:v>
      </x:c>
      <x:c r="Q29" s="21" t="n">
        <x:f>H29*P29</x:f>
        <x:v>577.6640000000001</x:v>
      </x:c>
      <x:c r="R29" s="22" t="n">
        <x:f>Q29*12/G29</x:f>
        <x:v>0.021335697137580798</x:v>
      </x:c>
      <x:c r="S29" s="23" t="n">
        <x:f>G29/(Q29*12)</x:f>
        <x:v>46.86980666962109</x:v>
      </x:c>
      <x:c r="T29" s="12" t="str">
        <x:v>Q3 2027</x:v>
      </x:c>
      <x:c r="U29" s="13"/>
      <x:c r="V29" s="12" t="str">
        <x:v>项目页单元示例</x:v>
      </x:c>
      <x:c r="W29" s="12" t="str">
        <x:v>项目页列示，实际可售待确认</x:v>
      </x:c>
      <x:c r="X29" s="12" t="str">
        <x:v>2026-10-06</x:v>
      </x:c>
      <x:c r="Y29" s="12" t="str">
        <x:v>https://www.neubaukompass.de/neubau/borsig-green-living-berlin/148769.html</x:v>
      </x:c>
      <x:c r="Z29" s="12" t="str">
        <x:v>项目页列示单元价格与面积；单套页面未能读取。实际可售和实际建造年待确认。</x:v>
      </x:c>
    </x:row>
    <x:row r="30">
      <x:c r="A30" s="12" t="str">
        <x:v>IS24-164750183</x:v>
      </x:c>
      <x:c r="B30" s="12" t="str">
        <x:v>Treptow-Köpenick</x:v>
      </x:c>
      <x:c r="C30" s="12" t="str">
        <x:v>Grünau</x:v>
      </x:c>
      <x:c r="D30" s="12" t="str">
        <x:v>BUWOG DAHMEGLANZ</x:v>
      </x:c>
      <x:c r="E30" s="12" t="str">
        <x:v>50040_WE_39</x:v>
      </x:c>
      <x:c r="F30" s="12" t="str">
        <x:v>An der Dahme 7 und 9 · 12527</x:v>
      </x:c>
      <x:c r="G30" s="13" t="n">
        <x:v>441750</x:v>
      </x:c>
      <x:c r="H30" s="14" t="n">
        <x:v>59.38</x:v>
      </x:c>
      <x:c r="I30" s="19" t="n">
        <x:f>G30/H30</x:f>
        <x:v>7439.373526439878</x:v>
      </x:c>
      <x:c r="J30" s="15"/>
      <x:c r="K30" s="20" t="str">
        <x:f>IF(J30="","",$H$5-J30)</x:f>
      </x:c>
      <x:c r="L30" s="15" t="n">
        <x:v>2028</x:v>
      </x:c>
      <x:c r="M30" s="12" t="str">
        <x:v>期房-待交付</x:v>
      </x:c>
      <x:c r="N30" s="12" t="str">
        <x:v>开发商直售或项目页</x:v>
      </x:c>
      <x:c r="O30" s="12" t="n">
        <x:v>2</x:v>
      </x:c>
      <x:c r="P30" s="14" t="n">
        <x:v>15.6</x:v>
      </x:c>
      <x:c r="Q30" s="21" t="n">
        <x:f>H30*P30</x:f>
        <x:v>926.328</x:v>
      </x:c>
      <x:c r="R30" s="22" t="n">
        <x:f>Q30*12/G30</x:f>
        <x:v>0.025163409168081494</x:v>
      </x:c>
      <x:c r="S30" s="23" t="n">
        <x:f>G30/(Q30*12)</x:f>
        <x:v>39.740243196794225</x:v>
      </x:c>
      <x:c r="T30" s="12" t="str">
        <x:v>2028</x:v>
      </x:c>
      <x:c r="U30" s="13" t="n">
        <x:v>32000</x:v>
      </x:c>
      <x:c r="V30" s="12" t="str">
        <x:v>单套页面</x:v>
      </x:c>
      <x:c r="W30" s="12" t="str">
        <x:v>页面可见，实际可售待确认</x:v>
      </x:c>
      <x:c r="X30" s="12" t="str">
        <x:v>2026-10-03</x:v>
      </x:c>
      <x:c r="Y30" s="12" t="str">
        <x:v>https://www.immobilienscout24.de/expose/164750183</x:v>
      </x:c>
      <x:c r="Z30" s="12" t="str">
        <x:v>车位32,000欧另计；是否强制购买及总投入待核实</x:v>
      </x:c>
    </x:row>
    <x:row r="31">
      <x:c r="A31" s="12" t="str">
        <x:v>NBK-168982607</x:v>
      </x:c>
      <x:c r="B31" s="12" t="str">
        <x:v>Reinickendorf</x:v>
      </x:c>
      <x:c r="C31" s="12" t="str">
        <x:v>Tegel</x:v>
      </x:c>
      <x:c r="D31" s="12" t="str">
        <x:v>Borsig Green Living</x:v>
      </x:c>
      <x:c r="E31" s="12" t="str">
        <x:v>项目单元 168982607</x:v>
      </x:c>
      <x:c r="F31" s="12" t="str">
        <x:v>Egellsstr. 6-8 · 13507</x:v>
      </x:c>
      <x:c r="G31" s="13" t="n">
        <x:v>342900</x:v>
      </x:c>
      <x:c r="H31" s="14" t="n">
        <x:v>45.21</x:v>
      </x:c>
      <x:c r="I31" s="19" t="n">
        <x:f>G31/H31</x:f>
        <x:v>7584.605175846052</x:v>
      </x:c>
      <x:c r="J31" s="15"/>
      <x:c r="K31" s="20" t="str">
        <x:f>IF(J31="","",$H$5-J31)</x:f>
      </x:c>
      <x:c r="L31" s="15" t="n">
        <x:v>2027</x:v>
      </x:c>
      <x:c r="M31" s="12" t="str">
        <x:v>期房-待交付</x:v>
      </x:c>
      <x:c r="N31" s="12" t="str">
        <x:v>开发商直售或项目页</x:v>
      </x:c>
      <x:c r="O31" s="12" t="n">
        <x:v>2</x:v>
      </x:c>
      <x:c r="P31" s="14" t="n">
        <x:v>12.8</x:v>
      </x:c>
      <x:c r="Q31" s="21" t="n">
        <x:f>H31*P31</x:f>
        <x:v>578.688</x:v>
      </x:c>
      <x:c r="R31" s="22" t="n">
        <x:f>Q31*12/G31</x:f>
        <x:v>0.020251548556430445</x:v>
      </x:c>
      <x:c r="S31" s="23" t="n">
        <x:f>G31/(Q31*12)</x:f>
        <x:v>49.37893994691441</x:v>
      </x:c>
      <x:c r="T31" s="12" t="str">
        <x:v>Q3 2027</x:v>
      </x:c>
      <x:c r="U31" s="13"/>
      <x:c r="V31" s="12" t="str">
        <x:v>项目页单元示例</x:v>
      </x:c>
      <x:c r="W31" s="12" t="str">
        <x:v>项目页列示，实际可售待确认</x:v>
      </x:c>
      <x:c r="X31" s="12" t="str">
        <x:v>2026-10-06</x:v>
      </x:c>
      <x:c r="Y31" s="12" t="str">
        <x:v>https://www.neubaukompass.de/neubau/borsig-green-living-berlin/148769.html</x:v>
      </x:c>
      <x:c r="Z31" s="12" t="str">
        <x:v>项目页列示单元价格与面积；单套页面未能读取。实际可售和实际建造年待确认。</x:v>
      </x:c>
    </x:row>
    <x:row r="32">
      <x:c r="A32" s="12" t="str">
        <x:v>NBK-168982586</x:v>
      </x:c>
      <x:c r="B32" s="12" t="str">
        <x:v>Reinickendorf</x:v>
      </x:c>
      <x:c r="C32" s="12" t="str">
        <x:v>Tegel</x:v>
      </x:c>
      <x:c r="D32" s="12" t="str">
        <x:v>Borsig Green Living</x:v>
      </x:c>
      <x:c r="E32" s="12" t="str">
        <x:v>项目单元 168982586</x:v>
      </x:c>
      <x:c r="F32" s="12" t="str">
        <x:v>Egellsstr. 6-8 · 13507</x:v>
      </x:c>
      <x:c r="G32" s="13" t="n">
        <x:v>342900</x:v>
      </x:c>
      <x:c r="H32" s="14" t="n">
        <x:v>45.13</x:v>
      </x:c>
      <x:c r="I32" s="19" t="n">
        <x:f>G32/H32</x:f>
        <x:v>7598.050077553733</x:v>
      </x:c>
      <x:c r="J32" s="15"/>
      <x:c r="K32" s="20" t="str">
        <x:f>IF(J32="","",$H$5-J32)</x:f>
      </x:c>
      <x:c r="L32" s="15" t="n">
        <x:v>2027</x:v>
      </x:c>
      <x:c r="M32" s="12" t="str">
        <x:v>期房-待交付</x:v>
      </x:c>
      <x:c r="N32" s="12" t="str">
        <x:v>开发商直售或项目页</x:v>
      </x:c>
      <x:c r="O32" s="12" t="n">
        <x:v>2</x:v>
      </x:c>
      <x:c r="P32" s="14" t="n">
        <x:v>12.8</x:v>
      </x:c>
      <x:c r="Q32" s="21" t="n">
        <x:f>H32*P32</x:f>
        <x:v>577.6640000000001</x:v>
      </x:c>
      <x:c r="R32" s="22" t="n">
        <x:f>Q32*12/G32</x:f>
        <x:v>0.020215713035870518</x:v>
      </x:c>
      <x:c r="S32" s="23" t="n">
        <x:f>G32/(Q32*12)</x:f>
        <x:v>49.466471859073785</x:v>
      </x:c>
      <x:c r="T32" s="12" t="str">
        <x:v>Q3 2027</x:v>
      </x:c>
      <x:c r="U32" s="13"/>
      <x:c r="V32" s="12" t="str">
        <x:v>项目页单元示例</x:v>
      </x:c>
      <x:c r="W32" s="12" t="str">
        <x:v>项目页列示，实际可售待确认</x:v>
      </x:c>
      <x:c r="X32" s="12" t="str">
        <x:v>2026-10-06</x:v>
      </x:c>
      <x:c r="Y32" s="12" t="str">
        <x:v>https://www.neubaukompass.de/neubau/borsig-green-living-berlin/148769.html</x:v>
      </x:c>
      <x:c r="Z32" s="12" t="str">
        <x:v>项目页列示单元价格与面积；单套页面未能读取。实际可售和实际建造年待确认。</x:v>
      </x:c>
    </x:row>
    <x:row r="33">
      <x:c r="A33" s="12" t="str">
        <x:v>NBK-168982601</x:v>
      </x:c>
      <x:c r="B33" s="12" t="str">
        <x:v>Reinickendorf</x:v>
      </x:c>
      <x:c r="C33" s="12" t="str">
        <x:v>Tegel</x:v>
      </x:c>
      <x:c r="D33" s="12" t="str">
        <x:v>Borsig Green Living</x:v>
      </x:c>
      <x:c r="E33" s="12" t="str">
        <x:v>项目单元 168982601</x:v>
      </x:c>
      <x:c r="F33" s="12" t="str">
        <x:v>Egellsstr. 6-8 · 13507</x:v>
      </x:c>
      <x:c r="G33" s="13" t="n">
        <x:v>342900</x:v>
      </x:c>
      <x:c r="H33" s="14" t="n">
        <x:v>45.13</x:v>
      </x:c>
      <x:c r="I33" s="19" t="n">
        <x:f>G33/H33</x:f>
        <x:v>7598.050077553733</x:v>
      </x:c>
      <x:c r="J33" s="15"/>
      <x:c r="K33" s="20" t="str">
        <x:f>IF(J33="","",$H$5-J33)</x:f>
      </x:c>
      <x:c r="L33" s="15" t="n">
        <x:v>2027</x:v>
      </x:c>
      <x:c r="M33" s="12" t="str">
        <x:v>期房-待交付</x:v>
      </x:c>
      <x:c r="N33" s="12" t="str">
        <x:v>开发商直售或项目页</x:v>
      </x:c>
      <x:c r="O33" s="12" t="n">
        <x:v>2</x:v>
      </x:c>
      <x:c r="P33" s="14" t="n">
        <x:v>12.8</x:v>
      </x:c>
      <x:c r="Q33" s="21" t="n">
        <x:f>H33*P33</x:f>
        <x:v>577.6640000000001</x:v>
      </x:c>
      <x:c r="R33" s="22" t="n">
        <x:f>Q33*12/G33</x:f>
        <x:v>0.020215713035870518</x:v>
      </x:c>
      <x:c r="S33" s="23" t="n">
        <x:f>G33/(Q33*12)</x:f>
        <x:v>49.466471859073785</x:v>
      </x:c>
      <x:c r="T33" s="12" t="str">
        <x:v>Q3 2027</x:v>
      </x:c>
      <x:c r="U33" s="13"/>
      <x:c r="V33" s="12" t="str">
        <x:v>项目页单元示例</x:v>
      </x:c>
      <x:c r="W33" s="12" t="str">
        <x:v>项目页列示，实际可售待确认</x:v>
      </x:c>
      <x:c r="X33" s="12" t="str">
        <x:v>2026-10-06</x:v>
      </x:c>
      <x:c r="Y33" s="12" t="str">
        <x:v>https://www.neubaukompass.de/neubau/borsig-green-living-berlin/148769.html</x:v>
      </x:c>
      <x:c r="Z33" s="12" t="str">
        <x:v>项目页列示单元价格与面积；单套页面未能读取。实际可售和实际建造年待确认。</x:v>
      </x:c>
    </x:row>
    <x:row r="34">
      <x:c r="A34" s="12" t="str">
        <x:v>NBK-FL-48.04-398</x:v>
      </x:c>
      <x:c r="B34" s="12" t="str">
        <x:v>Pankow</x:v>
      </x:c>
      <x:c r="C34" s="12" t="str">
        <x:v>Pankow</x:v>
      </x:c>
      <x:c r="D34" s="12" t="str">
        <x:v>Unsere Flora</x:v>
      </x:c>
      <x:c r="E34" s="12" t="str">
        <x:v>48.04-398</x:v>
      </x:c>
      <x:c r="F34" s="12" t="str">
        <x:v>Florapromenade 8 · 13187</x:v>
      </x:c>
      <x:c r="G34" s="13" t="n">
        <x:v>398000</x:v>
      </x:c>
      <x:c r="H34" s="14" t="n">
        <x:v>48.04</x:v>
      </x:c>
      <x:c r="I34" s="19" t="n">
        <x:f>G34/H34</x:f>
        <x:v>8284.762697751874</x:v>
      </x:c>
      <x:c r="J34" s="15"/>
      <x:c r="K34" s="20" t="str">
        <x:f>IF(J34="","",$H$5-J34)</x:f>
      </x:c>
      <x:c r="L34" s="15" t="n">
        <x:v>2027</x:v>
      </x:c>
      <x:c r="M34" s="12" t="str">
        <x:v>期房-待交付</x:v>
      </x:c>
      <x:c r="N34" s="12" t="str">
        <x:v>开发商直售或项目页</x:v>
      </x:c>
      <x:c r="O34" s="12" t="n">
        <x:v>2</x:v>
      </x:c>
      <x:c r="P34" s="14" t="n">
        <x:v>17</x:v>
      </x:c>
      <x:c r="Q34" s="21" t="n">
        <x:f>H34*P34</x:f>
        <x:v>816.68</x:v>
      </x:c>
      <x:c r="R34" s="22" t="n">
        <x:f>Q34*12/G34</x:f>
        <x:v>0.024623517587939698</x:v>
      </x:c>
      <x:c r="S34" s="23" t="n">
        <x:f>G34/(Q34*12)</x:f>
        <x:v>40.61158185172487</x:v>
      </x:c>
      <x:c r="T34" s="12" t="str">
        <x:v>Q4 2027</x:v>
      </x:c>
      <x:c r="U34" s="13"/>
      <x:c r="V34" s="12" t="str">
        <x:v>项目页单元示例</x:v>
      </x:c>
      <x:c r="W34" s="12" t="str">
        <x:v>项目页列示，实际可售待确认</x:v>
      </x:c>
      <x:c r="X34" s="12" t="str">
        <x:v>2026-10-06</x:v>
      </x:c>
      <x:c r="Y34" s="12" t="str">
        <x:v>https://www.neubaukompass.de/neubau/unsere-flora-berlin/151083.html</x:v>
      </x:c>
      <x:c r="Z34" s="12" t="str">
        <x:v>项目页列示单元价格与面积；单套页面未能读取。实际可售和实际建造年待确认。</x:v>
      </x:c>
    </x:row>
    <x:row r="35">
      <x:c r="A35" s="12" t="str">
        <x:v>NBK-FL-53.66-449</x:v>
      </x:c>
      <x:c r="B35" s="12" t="str">
        <x:v>Pankow</x:v>
      </x:c>
      <x:c r="C35" s="12" t="str">
        <x:v>Pankow</x:v>
      </x:c>
      <x:c r="D35" s="12" t="str">
        <x:v>Unsere Flora</x:v>
      </x:c>
      <x:c r="E35" s="12" t="str">
        <x:v>2 Zimmer 53.66 / 449k</x:v>
      </x:c>
      <x:c r="F35" s="12" t="str">
        <x:v>Florapromenade 8 · 13187</x:v>
      </x:c>
      <x:c r="G35" s="13" t="n">
        <x:v>449000</x:v>
      </x:c>
      <x:c r="H35" s="14" t="n">
        <x:v>53.66</x:v>
      </x:c>
      <x:c r="I35" s="19" t="n">
        <x:f>G35/H35</x:f>
        <x:v>8367.499068207231</x:v>
      </x:c>
      <x:c r="J35" s="15"/>
      <x:c r="K35" s="20" t="str">
        <x:f>IF(J35="","",$H$5-J35)</x:f>
      </x:c>
      <x:c r="L35" s="15" t="n">
        <x:v>2027</x:v>
      </x:c>
      <x:c r="M35" s="12" t="str">
        <x:v>期房-待交付</x:v>
      </x:c>
      <x:c r="N35" s="12" t="str">
        <x:v>开发商直售或项目页</x:v>
      </x:c>
      <x:c r="O35" s="12" t="n">
        <x:v>2</x:v>
      </x:c>
      <x:c r="P35" s="14" t="n">
        <x:v>17</x:v>
      </x:c>
      <x:c r="Q35" s="21" t="n">
        <x:f>H35*P35</x:f>
        <x:v>912.2199999999999</x:v>
      </x:c>
      <x:c r="R35" s="22" t="n">
        <x:f>Q35*12/G35</x:f>
        <x:v>0.024380044543429843</x:v>
      </x:c>
      <x:c r="S35" s="23" t="n">
        <x:f>G35/(Q35*12)</x:f>
        <x:v>41.017152295133485</x:v>
      </x:c>
      <x:c r="T35" s="12" t="str">
        <x:v>Q4 2027</x:v>
      </x:c>
      <x:c r="U35" s="13"/>
      <x:c r="V35" s="12" t="str">
        <x:v>项目页单元示例</x:v>
      </x:c>
      <x:c r="W35" s="12" t="str">
        <x:v>页面可见，实际可售待确认</x:v>
      </x:c>
      <x:c r="X35" s="12" t="str">
        <x:v>2026-10-03</x:v>
      </x:c>
      <x:c r="Y35" s="12" t="str">
        <x:v>https://www.neubaukompass.de/neubau/unsere-flora-berlin/151083.html</x:v>
      </x:c>
      <x:c r="Z35" s="12" t="str">
        <x:v>同面积另有459k房源，不视为重复；单套ID待确认</x:v>
      </x:c>
    </x:row>
    <x:row r="36">
      <x:c r="A36" s="12" t="str">
        <x:v>NBK-FL-59.44-499</x:v>
      </x:c>
      <x:c r="B36" s="12" t="str">
        <x:v>Pankow</x:v>
      </x:c>
      <x:c r="C36" s="12" t="str">
        <x:v>Pankow</x:v>
      </x:c>
      <x:c r="D36" s="12" t="str">
        <x:v>Unsere Flora</x:v>
      </x:c>
      <x:c r="E36" s="12" t="str">
        <x:v>59.44-499</x:v>
      </x:c>
      <x:c r="F36" s="12" t="str">
        <x:v>Florapromenade 8 · 13187</x:v>
      </x:c>
      <x:c r="G36" s="13" t="n">
        <x:v>499000</x:v>
      </x:c>
      <x:c r="H36" s="14" t="n">
        <x:v>59.44</x:v>
      </x:c>
      <x:c r="I36" s="19" t="n">
        <x:f>G36/H36</x:f>
        <x:v>8395.020188425304</x:v>
      </x:c>
      <x:c r="J36" s="15"/>
      <x:c r="K36" s="20" t="str">
        <x:f>IF(J36="","",$H$5-J36)</x:f>
      </x:c>
      <x:c r="L36" s="15" t="n">
        <x:v>2027</x:v>
      </x:c>
      <x:c r="M36" s="12" t="str">
        <x:v>期房-待交付</x:v>
      </x:c>
      <x:c r="N36" s="12" t="str">
        <x:v>开发商直售或项目页</x:v>
      </x:c>
      <x:c r="O36" s="12" t="n">
        <x:v>2</x:v>
      </x:c>
      <x:c r="P36" s="14" t="n">
        <x:v>17</x:v>
      </x:c>
      <x:c r="Q36" s="21" t="n">
        <x:f>H36*P36</x:f>
        <x:v>1010.48</x:v>
      </x:c>
      <x:c r="R36" s="22" t="n">
        <x:f>Q36*12/G36</x:f>
        <x:v>0.024300120240480963</x:v>
      </x:c>
      <x:c r="S36" s="23" t="n">
        <x:f>G36/(Q36*12)</x:f>
        <x:v>41.152059747182854</x:v>
      </x:c>
      <x:c r="T36" s="12" t="str">
        <x:v>Q4 2027</x:v>
      </x:c>
      <x:c r="U36" s="13"/>
      <x:c r="V36" s="12" t="str">
        <x:v>项目页单元示例</x:v>
      </x:c>
      <x:c r="W36" s="12" t="str">
        <x:v>项目页列示，实际可售待确认</x:v>
      </x:c>
      <x:c r="X36" s="12" t="str">
        <x:v>2026-10-06</x:v>
      </x:c>
      <x:c r="Y36" s="12" t="str">
        <x:v>https://www.neubaukompass.de/neubau/unsere-flora-berlin/151083.html</x:v>
      </x:c>
      <x:c r="Z36" s="12" t="str">
        <x:v>项目页列示单元价格与面积；单套页面未能读取。实际可售和实际建造年待确认。</x:v>
      </x:c>
    </x:row>
    <x:row r="37">
      <x:c r="A37" s="12" t="str">
        <x:v>NBK-FL-53.66-459</x:v>
      </x:c>
      <x:c r="B37" s="12" t="str">
        <x:v>Pankow</x:v>
      </x:c>
      <x:c r="C37" s="12" t="str">
        <x:v>Pankow</x:v>
      </x:c>
      <x:c r="D37" s="12" t="str">
        <x:v>Unsere Flora</x:v>
      </x:c>
      <x:c r="E37" s="12" t="str">
        <x:v>53.66-459</x:v>
      </x:c>
      <x:c r="F37" s="12" t="str">
        <x:v>Florapromenade 8 · 13187</x:v>
      </x:c>
      <x:c r="G37" s="13" t="n">
        <x:v>459000</x:v>
      </x:c>
      <x:c r="H37" s="14" t="n">
        <x:v>53.66</x:v>
      </x:c>
      <x:c r="I37" s="19" t="n">
        <x:f>G37/H37</x:f>
        <x:v>8553.857622064854</x:v>
      </x:c>
      <x:c r="J37" s="15"/>
      <x:c r="K37" s="20" t="str">
        <x:f>IF(J37="","",$H$5-J37)</x:f>
      </x:c>
      <x:c r="L37" s="15" t="n">
        <x:v>2027</x:v>
      </x:c>
      <x:c r="M37" s="12" t="str">
        <x:v>期房-待交付</x:v>
      </x:c>
      <x:c r="N37" s="12" t="str">
        <x:v>开发商直售或项目页</x:v>
      </x:c>
      <x:c r="O37" s="12" t="n">
        <x:v>2</x:v>
      </x:c>
      <x:c r="P37" s="14" t="n">
        <x:v>17</x:v>
      </x:c>
      <x:c r="Q37" s="21" t="n">
        <x:f>H37*P37</x:f>
        <x:v>912.2199999999999</x:v>
      </x:c>
      <x:c r="R37" s="22" t="n">
        <x:f>Q37*12/G37</x:f>
        <x:v>0.023848888888888888</x:v>
      </x:c>
      <x:c r="S37" s="23" t="n">
        <x:f>G37/(Q37*12)</x:f>
        <x:v>41.93067461796497</x:v>
      </x:c>
      <x:c r="T37" s="12" t="str">
        <x:v>Q4 2027</x:v>
      </x:c>
      <x:c r="U37" s="13"/>
      <x:c r="V37" s="12" t="str">
        <x:v>项目页单元示例</x:v>
      </x:c>
      <x:c r="W37" s="12" t="str">
        <x:v>项目页列示，实际可售待确认</x:v>
      </x:c>
      <x:c r="X37" s="12" t="str">
        <x:v>2026-10-06</x:v>
      </x:c>
      <x:c r="Y37" s="12" t="str">
        <x:v>https://www.neubaukompass.de/neubau/unsere-flora-berlin/151083.html</x:v>
      </x:c>
      <x:c r="Z37" s="12" t="str">
        <x:v>项目页列示单元价格与面积；单套页面未能读取。实际可售和实际建造年待确认。</x:v>
      </x:c>
    </x:row>
    <x:row r="38">
      <x:c r="A38" s="12" t="str">
        <x:v>NBK-FL-48.41-419</x:v>
      </x:c>
      <x:c r="B38" s="12" t="str">
        <x:v>Pankow</x:v>
      </x:c>
      <x:c r="C38" s="12" t="str">
        <x:v>Pankow</x:v>
      </x:c>
      <x:c r="D38" s="12" t="str">
        <x:v>Unsere Flora</x:v>
      </x:c>
      <x:c r="E38" s="12" t="str">
        <x:v>48.41-419</x:v>
      </x:c>
      <x:c r="F38" s="12" t="str">
        <x:v>Florapromenade 8 · 13187</x:v>
      </x:c>
      <x:c r="G38" s="13" t="n">
        <x:v>419000</x:v>
      </x:c>
      <x:c r="H38" s="14" t="n">
        <x:v>48.41</x:v>
      </x:c>
      <x:c r="I38" s="19" t="n">
        <x:f>G38/H38</x:f>
        <x:v>8655.23652137988</x:v>
      </x:c>
      <x:c r="J38" s="15"/>
      <x:c r="K38" s="20" t="str">
        <x:f>IF(J38="","",$H$5-J38)</x:f>
      </x:c>
      <x:c r="L38" s="15" t="n">
        <x:v>2027</x:v>
      </x:c>
      <x:c r="M38" s="12" t="str">
        <x:v>期房-待交付</x:v>
      </x:c>
      <x:c r="N38" s="12" t="str">
        <x:v>开发商直售或项目页</x:v>
      </x:c>
      <x:c r="O38" s="12" t="n">
        <x:v>2</x:v>
      </x:c>
      <x:c r="P38" s="14" t="n">
        <x:v>17</x:v>
      </x:c>
      <x:c r="Q38" s="21" t="n">
        <x:f>H38*P38</x:f>
        <x:v>822.9699999999999</x:v>
      </x:c>
      <x:c r="R38" s="22" t="n">
        <x:f>Q38*12/G38</x:f>
        <x:v>0.023569546539379472</x:v>
      </x:c>
      <x:c r="S38" s="23" t="n">
        <x:f>G38/(Q38*12)</x:f>
        <x:v>42.42763000676412</x:v>
      </x:c>
      <x:c r="T38" s="12" t="str">
        <x:v>Q4 2027</x:v>
      </x:c>
      <x:c r="U38" s="13"/>
      <x:c r="V38" s="12" t="str">
        <x:v>项目页单元示例</x:v>
      </x:c>
      <x:c r="W38" s="12" t="str">
        <x:v>项目页列示，实际可售待确认</x:v>
      </x:c>
      <x:c r="X38" s="12" t="str">
        <x:v>2026-10-06</x:v>
      </x:c>
      <x:c r="Y38" s="12" t="str">
        <x:v>https://www.neubaukompass.de/neubau/unsere-flora-berlin/151083.html</x:v>
      </x:c>
      <x:c r="Z38" s="12" t="str">
        <x:v>项目页列示单元价格与面积；单套页面未能读取。实际可售和实际建造年待确认。</x:v>
      </x:c>
    </x:row>
    <x:row r="39">
      <x:c r="A39" s="12" t="str">
        <x:v>NBK-FL-53.66-469</x:v>
      </x:c>
      <x:c r="B39" s="12" t="str">
        <x:v>Pankow</x:v>
      </x:c>
      <x:c r="C39" s="12" t="str">
        <x:v>Pankow</x:v>
      </x:c>
      <x:c r="D39" s="12" t="str">
        <x:v>Unsere Flora</x:v>
      </x:c>
      <x:c r="E39" s="12" t="str">
        <x:v>53.66-469</x:v>
      </x:c>
      <x:c r="F39" s="12" t="str">
        <x:v>Florapromenade 8 · 13187</x:v>
      </x:c>
      <x:c r="G39" s="13" t="n">
        <x:v>469000</x:v>
      </x:c>
      <x:c r="H39" s="14" t="n">
        <x:v>53.66</x:v>
      </x:c>
      <x:c r="I39" s="19" t="n">
        <x:f>G39/H39</x:f>
        <x:v>8740.216175922475</x:v>
      </x:c>
      <x:c r="J39" s="15"/>
      <x:c r="K39" s="20" t="str">
        <x:f>IF(J39="","",$H$5-J39)</x:f>
      </x:c>
      <x:c r="L39" s="15" t="n">
        <x:v>2027</x:v>
      </x:c>
      <x:c r="M39" s="12" t="str">
        <x:v>期房-待交付</x:v>
      </x:c>
      <x:c r="N39" s="12" t="str">
        <x:v>开发商直售或项目页</x:v>
      </x:c>
      <x:c r="O39" s="12" t="n">
        <x:v>2</x:v>
      </x:c>
      <x:c r="P39" s="14" t="n">
        <x:v>17</x:v>
      </x:c>
      <x:c r="Q39" s="21" t="n">
        <x:f>H39*P39</x:f>
        <x:v>912.2199999999999</x:v>
      </x:c>
      <x:c r="R39" s="22" t="n">
        <x:f>Q39*12/G39</x:f>
        <x:v>0.02334038379530917</x:v>
      </x:c>
      <x:c r="S39" s="23" t="n">
        <x:f>G39/(Q39*12)</x:f>
        <x:v>42.84419694079645</x:v>
      </x:c>
      <x:c r="T39" s="12" t="str">
        <x:v>Q4 2027</x:v>
      </x:c>
      <x:c r="U39" s="13"/>
      <x:c r="V39" s="12" t="str">
        <x:v>项目页单元示例</x:v>
      </x:c>
      <x:c r="W39" s="12" t="str">
        <x:v>项目页列示，实际可售待确认</x:v>
      </x:c>
      <x:c r="X39" s="12" t="str">
        <x:v>2026-10-06</x:v>
      </x:c>
      <x:c r="Y39" s="12" t="str">
        <x:v>https://www.neubaukompass.de/neubau/unsere-flora-berlin/151083.html</x:v>
      </x:c>
      <x:c r="Z39" s="12" t="str">
        <x:v>项目页列示单元价格与面积；单套页面未能读取。实际可售和实际建造年待确认。</x:v>
      </x:c>
    </x:row>
    <x:row r="40">
      <x:c r="A40" s="12" t="str">
        <x:v>NBK-FL-48.43</x:v>
      </x:c>
      <x:c r="B40" s="12" t="str">
        <x:v>Pankow</x:v>
      </x:c>
      <x:c r="C40" s="12" t="str">
        <x:v>Pankow</x:v>
      </x:c>
      <x:c r="D40" s="12" t="str">
        <x:v>Unsere Flora</x:v>
      </x:c>
      <x:c r="E40" s="12" t="str">
        <x:v>2 Zimmer 48.43</x:v>
      </x:c>
      <x:c r="F40" s="12" t="str">
        <x:v>Florapromenade 8 · 13187</x:v>
      </x:c>
      <x:c r="G40" s="13" t="n">
        <x:v>429000</x:v>
      </x:c>
      <x:c r="H40" s="14" t="n">
        <x:v>48.43</x:v>
      </x:c>
      <x:c r="I40" s="19" t="n">
        <x:f>G40/H40</x:f>
        <x:v>8858.145777410697</x:v>
      </x:c>
      <x:c r="J40" s="15"/>
      <x:c r="K40" s="20" t="str">
        <x:f>IF(J40="","",$H$5-J40)</x:f>
      </x:c>
      <x:c r="L40" s="15" t="n">
        <x:v>2027</x:v>
      </x:c>
      <x:c r="M40" s="12" t="str">
        <x:v>期房-待交付</x:v>
      </x:c>
      <x:c r="N40" s="12" t="str">
        <x:v>开发商直售或项目页</x:v>
      </x:c>
      <x:c r="O40" s="12" t="n">
        <x:v>2</x:v>
      </x:c>
      <x:c r="P40" s="14" t="n">
        <x:v>17</x:v>
      </x:c>
      <x:c r="Q40" s="21" t="n">
        <x:f>H40*P40</x:f>
        <x:v>823.31</x:v>
      </x:c>
      <x:c r="R40" s="22" t="n">
        <x:f>Q40*12/G40</x:f>
        <x:v>0.02302965034965035</x:v>
      </x:c>
      <x:c r="S40" s="23" t="n">
        <x:f>G40/(Q40*12)</x:f>
        <x:v>43.42228322260145</x:v>
      </x:c>
      <x:c r="T40" s="12" t="str">
        <x:v>Q4 2027</x:v>
      </x:c>
      <x:c r="U40" s="13"/>
      <x:c r="V40" s="12" t="str">
        <x:v>项目页单元示例</x:v>
      </x:c>
      <x:c r="W40" s="12" t="str">
        <x:v>页面可见，实际可售待确认</x:v>
      </x:c>
      <x:c r="X40" s="12" t="str">
        <x:v>2026-10-03</x:v>
      </x:c>
      <x:c r="Y40" s="12" t="str">
        <x:v>https://www.neubaukompass.de/neubau/unsere-flora-berlin/151083.html</x:v>
      </x:c>
      <x:c r="Z40" s="12" t="str">
        <x:v>单套ID/价格清单需开发商确认</x:v>
      </x:c>
    </x:row>
    <x:row r="41">
      <x:c r="A41" s="12" t="str">
        <x:v>NBK-FL-48.41-429</x:v>
      </x:c>
      <x:c r="B41" s="12" t="str">
        <x:v>Pankow</x:v>
      </x:c>
      <x:c r="C41" s="12" t="str">
        <x:v>Pankow</x:v>
      </x:c>
      <x:c r="D41" s="12" t="str">
        <x:v>Unsere Flora</x:v>
      </x:c>
      <x:c r="E41" s="12" t="str">
        <x:v>48.41-429</x:v>
      </x:c>
      <x:c r="F41" s="12" t="str">
        <x:v>Florapromenade 8 · 13187</x:v>
      </x:c>
      <x:c r="G41" s="13" t="n">
        <x:v>429000</x:v>
      </x:c>
      <x:c r="H41" s="14" t="n">
        <x:v>48.41</x:v>
      </x:c>
      <x:c r="I41" s="19" t="n">
        <x:f>G41/H41</x:f>
        <x:v>8861.805412104937</x:v>
      </x:c>
      <x:c r="J41" s="15"/>
      <x:c r="K41" s="20" t="str">
        <x:f>IF(J41="","",$H$5-J41)</x:f>
      </x:c>
      <x:c r="L41" s="15" t="n">
        <x:v>2027</x:v>
      </x:c>
      <x:c r="M41" s="12" t="str">
        <x:v>期房-待交付</x:v>
      </x:c>
      <x:c r="N41" s="12" t="str">
        <x:v>开发商直售或项目页</x:v>
      </x:c>
      <x:c r="O41" s="12" t="n">
        <x:v>2</x:v>
      </x:c>
      <x:c r="P41" s="14" t="n">
        <x:v>17</x:v>
      </x:c>
      <x:c r="Q41" s="21" t="n">
        <x:f>H41*P41</x:f>
        <x:v>822.9699999999999</x:v>
      </x:c>
      <x:c r="R41" s="22" t="n">
        <x:f>Q41*12/G41</x:f>
        <x:v>0.023020139860139857</x:v>
      </x:c>
      <x:c r="S41" s="23" t="n">
        <x:f>G41/(Q41*12)</x:f>
        <x:v>43.44022260835754</x:v>
      </x:c>
      <x:c r="T41" s="12" t="str">
        <x:v>Q4 2027</x:v>
      </x:c>
      <x:c r="U41" s="13"/>
      <x:c r="V41" s="12" t="str">
        <x:v>项目页单元示例</x:v>
      </x:c>
      <x:c r="W41" s="12" t="str">
        <x:v>项目页列示，实际可售待确认</x:v>
      </x:c>
      <x:c r="X41" s="12" t="str">
        <x:v>2026-10-06</x:v>
      </x:c>
      <x:c r="Y41" s="12" t="str">
        <x:v>https://www.neubaukompass.de/neubau/unsere-flora-berlin/151083.html</x:v>
      </x:c>
      <x:c r="Z41" s="12" t="str">
        <x:v>项目页列示单元价格与面积；单套页面未能读取。实际可售和实际建造年待确认。</x:v>
      </x:c>
    </x:row>
    <x:row r="42">
      <x:c r="A42" s="12" t="str">
        <x:v>NBK-FL-53.66-479</x:v>
      </x:c>
      <x:c r="B42" s="12" t="str">
        <x:v>Pankow</x:v>
      </x:c>
      <x:c r="C42" s="12" t="str">
        <x:v>Pankow</x:v>
      </x:c>
      <x:c r="D42" s="12" t="str">
        <x:v>Unsere Flora</x:v>
      </x:c>
      <x:c r="E42" s="12" t="str">
        <x:v>53.66-479</x:v>
      </x:c>
      <x:c r="F42" s="12" t="str">
        <x:v>Florapromenade 8 · 13187</x:v>
      </x:c>
      <x:c r="G42" s="13" t="n">
        <x:v>479000</x:v>
      </x:c>
      <x:c r="H42" s="14" t="n">
        <x:v>53.66</x:v>
      </x:c>
      <x:c r="I42" s="19" t="n">
        <x:f>G42/H42</x:f>
        <x:v>8926.574729780097</x:v>
      </x:c>
      <x:c r="J42" s="15"/>
      <x:c r="K42" s="20" t="str">
        <x:f>IF(J42="","",$H$5-J42)</x:f>
      </x:c>
      <x:c r="L42" s="15" t="n">
        <x:v>2027</x:v>
      </x:c>
      <x:c r="M42" s="12" t="str">
        <x:v>期房-待交付</x:v>
      </x:c>
      <x:c r="N42" s="12" t="str">
        <x:v>开发商直售或项目页</x:v>
      </x:c>
      <x:c r="O42" s="12" t="n">
        <x:v>2</x:v>
      </x:c>
      <x:c r="P42" s="14" t="n">
        <x:v>17</x:v>
      </x:c>
      <x:c r="Q42" s="21" t="n">
        <x:f>H42*P42</x:f>
        <x:v>912.2199999999999</x:v>
      </x:c>
      <x:c r="R42" s="22" t="n">
        <x:f>Q42*12/G42</x:f>
        <x:v>0.022853110647181627</x:v>
      </x:c>
      <x:c r="S42" s="23" t="n">
        <x:f>G42/(Q42*12)</x:f>
        <x:v>43.757719263627926</x:v>
      </x:c>
      <x:c r="T42" s="12" t="str">
        <x:v>Q4 2027</x:v>
      </x:c>
      <x:c r="U42" s="13"/>
      <x:c r="V42" s="12" t="str">
        <x:v>项目页单元示例</x:v>
      </x:c>
      <x:c r="W42" s="12" t="str">
        <x:v>项目页列示，实际可售待确认</x:v>
      </x:c>
      <x:c r="X42" s="12" t="str">
        <x:v>2026-10-06</x:v>
      </x:c>
      <x:c r="Y42" s="12" t="str">
        <x:v>https://www.neubaukompass.de/neubau/unsere-flora-berlin/151083.html</x:v>
      </x:c>
      <x:c r="Z42" s="12" t="str">
        <x:v>项目页列示单元价格与面积；单套页面未能读取。实际可售和实际建造年待确认。</x:v>
      </x:c>
    </x:row>
    <x:row r="43">
      <x:c r="A43" s="12" t="str">
        <x:v>NBK-FL-48.41-439</x:v>
      </x:c>
      <x:c r="B43" s="12" t="str">
        <x:v>Pankow</x:v>
      </x:c>
      <x:c r="C43" s="12" t="str">
        <x:v>Pankow</x:v>
      </x:c>
      <x:c r="D43" s="12" t="str">
        <x:v>Unsere Flora</x:v>
      </x:c>
      <x:c r="E43" s="12" t="str">
        <x:v>48.41-439</x:v>
      </x:c>
      <x:c r="F43" s="12" t="str">
        <x:v>Florapromenade 8 · 13187</x:v>
      </x:c>
      <x:c r="G43" s="13" t="n">
        <x:v>439000</x:v>
      </x:c>
      <x:c r="H43" s="14" t="n">
        <x:v>48.41</x:v>
      </x:c>
      <x:c r="I43" s="19" t="n">
        <x:f>G43/H43</x:f>
        <x:v>9068.374302829994</x:v>
      </x:c>
      <x:c r="J43" s="15"/>
      <x:c r="K43" s="20" t="str">
        <x:f>IF(J43="","",$H$5-J43)</x:f>
      </x:c>
      <x:c r="L43" s="15" t="n">
        <x:v>2027</x:v>
      </x:c>
      <x:c r="M43" s="12" t="str">
        <x:v>期房-待交付</x:v>
      </x:c>
      <x:c r="N43" s="12" t="str">
        <x:v>开发商直售或项目页</x:v>
      </x:c>
      <x:c r="O43" s="12" t="n">
        <x:v>2</x:v>
      </x:c>
      <x:c r="P43" s="14" t="n">
        <x:v>17</x:v>
      </x:c>
      <x:c r="Q43" s="21" t="n">
        <x:f>H43*P43</x:f>
        <x:v>822.9699999999999</x:v>
      </x:c>
      <x:c r="R43" s="22" t="n">
        <x:f>Q43*12/G43</x:f>
        <x:v>0.022495763097949886</x:v>
      </x:c>
      <x:c r="S43" s="23" t="n">
        <x:f>G43/(Q43*12)</x:f>
        <x:v>44.452815209950955</x:v>
      </x:c>
      <x:c r="T43" s="12" t="str">
        <x:v>Q4 2027</x:v>
      </x:c>
      <x:c r="U43" s="13"/>
      <x:c r="V43" s="12" t="str">
        <x:v>项目页单元示例</x:v>
      </x:c>
      <x:c r="W43" s="12" t="str">
        <x:v>项目页列示，实际可售待确认</x:v>
      </x:c>
      <x:c r="X43" s="12" t="str">
        <x:v>2026-10-06</x:v>
      </x:c>
      <x:c r="Y43" s="12" t="str">
        <x:v>https://www.neubaukompass.de/neubau/unsere-flora-berlin/151083.html</x:v>
      </x:c>
      <x:c r="Z43" s="12" t="str">
        <x:v>项目页列示单元价格与面积；单套页面未能读取。实际可售和实际建造年待确认。</x:v>
      </x:c>
    </x:row>
    <x:row r="44">
      <x:c r="A44" s="12" t="str">
        <x:v>NBK-164987374</x:v>
      </x:c>
      <x:c r="B44" s="12" t="str">
        <x:v>Treptow-Köpenick</x:v>
      </x:c>
      <x:c r="C44" s="12" t="str">
        <x:v>Köpenick</x:v>
      </x:c>
      <x:c r="D44" s="12" t="str">
        <x:v>ACHTERDECK</x:v>
      </x:c>
      <x:c r="E44" s="12" t="str">
        <x:v>项目单元 164987374</x:v>
      </x:c>
      <x:c r="F44" s="12" t="str">
        <x:v>Wendenschloßstraße 330-332 · 12557</x:v>
      </x:c>
      <x:c r="G44" s="13" t="n">
        <x:v>449900</x:v>
      </x:c>
      <x:c r="H44" s="14" t="n">
        <x:v>77.79</x:v>
      </x:c>
      <x:c r="I44" s="19" t="n">
        <x:f>G44/H44</x:f>
        <x:v>5783.519732613446</x:v>
      </x:c>
      <x:c r="J44" s="15"/>
      <x:c r="K44" s="20" t="str">
        <x:f>IF(J44="","",$H$5-J44)</x:f>
      </x:c>
      <x:c r="L44" s="15"/>
      <x:c r="M44" s="18" t="str">
        <x:v>建造年待核</x:v>
      </x:c>
      <x:c r="N44" s="12" t="str">
        <x:v>开发商直售或项目页</x:v>
      </x:c>
      <x:c r="O44" s="12" t="n">
        <x:v>3</x:v>
      </x:c>
      <x:c r="P44" s="14" t="n">
        <x:v>15.6</x:v>
      </x:c>
      <x:c r="Q44" s="21" t="n">
        <x:f>H44*P44</x:f>
        <x:v>1213.5240000000001</x:v>
      </x:c>
      <x:c r="R44" s="22" t="n">
        <x:f>Q44*12/G44</x:f>
        <x:v>0.032367832851744834</x:v>
      </x:c>
      <x:c r="S44" s="23" t="n">
        <x:f>G44/(Q44*12)</x:f>
        <x:v>30.89487036652482</x:v>
      </x:c>
      <x:c r="T44" s="12" t="str">
        <x:v>即刻</x:v>
      </x:c>
      <x:c r="U44" s="13"/>
      <x:c r="V44" s="12" t="str">
        <x:v>项目页单元示例</x:v>
      </x:c>
      <x:c r="W44" s="12" t="str">
        <x:v>项目页列示，实际可售待确认</x:v>
      </x:c>
      <x:c r="X44" s="12" t="str">
        <x:v>2026-10-06</x:v>
      </x:c>
      <x:c r="Y44" s="12" t="str">
        <x:v>https://www.neubaukompass.de/neubau/achterdeck-berlin-koepenick-berlin/143476.html</x:v>
      </x:c>
      <x:c r="Z44" s="12" t="str">
        <x:v>项目页列示单元价格与面积；单套页面未能读取。实际可售和实际建造年待确认。</x:v>
      </x:c>
    </x:row>
    <x:row r="45">
      <x:c r="A45" s="12" t="str">
        <x:v>NBK-164078324</x:v>
      </x:c>
      <x:c r="B45" s="12" t="str">
        <x:v>Treptow-Köpenick</x:v>
      </x:c>
      <x:c r="C45" s="12" t="str">
        <x:v>Köpenick</x:v>
      </x:c>
      <x:c r="D45" s="12" t="str">
        <x:v>ACHTERDECK</x:v>
      </x:c>
      <x:c r="E45" s="12" t="str">
        <x:v>项目单元 164078324</x:v>
      </x:c>
      <x:c r="F45" s="12" t="str">
        <x:v>Wendenschloßstraße 330-332 · 12557</x:v>
      </x:c>
      <x:c r="G45" s="13" t="n">
        <x:v>449900</x:v>
      </x:c>
      <x:c r="H45" s="14" t="n">
        <x:v>77.6</x:v>
      </x:c>
      <x:c r="I45" s="19" t="n">
        <x:f>G45/H45</x:f>
        <x:v>5797.6804123711345</x:v>
      </x:c>
      <x:c r="J45" s="15"/>
      <x:c r="K45" s="20" t="str">
        <x:f>IF(J45="","",$H$5-J45)</x:f>
      </x:c>
      <x:c r="L45" s="15"/>
      <x:c r="M45" s="18" t="str">
        <x:v>建造年待核</x:v>
      </x:c>
      <x:c r="N45" s="12" t="str">
        <x:v>开发商直售或项目页</x:v>
      </x:c>
      <x:c r="O45" s="12" t="n">
        <x:v>3</x:v>
      </x:c>
      <x:c r="P45" s="14" t="n">
        <x:v>15.6</x:v>
      </x:c>
      <x:c r="Q45" s="21" t="n">
        <x:f>H45*P45</x:f>
        <x:v>1210.56</x:v>
      </x:c>
      <x:c r="R45" s="22" t="n">
        <x:f>Q45*12/G45</x:f>
        <x:v>0.03228877528339631</x:v>
      </x:c>
      <x:c r="S45" s="23" t="n">
        <x:f>G45/(Q45*12)</x:f>
        <x:v>30.970515023350075</x:v>
      </x:c>
      <x:c r="T45" s="12" t="str">
        <x:v>即刻</x:v>
      </x:c>
      <x:c r="U45" s="13"/>
      <x:c r="V45" s="12" t="str">
        <x:v>项目页单元示例</x:v>
      </x:c>
      <x:c r="W45" s="12" t="str">
        <x:v>项目页列示，实际可售待确认</x:v>
      </x:c>
      <x:c r="X45" s="12" t="str">
        <x:v>2026-10-06</x:v>
      </x:c>
      <x:c r="Y45" s="12" t="str">
        <x:v>https://www.neubaukompass.de/neubau/achterdeck-berlin-koepenick-berlin/143476.html</x:v>
      </x:c>
      <x:c r="Z45" s="12" t="str">
        <x:v>项目页列示单元价格与面积；单套页面未能读取。实际可售和实际建造年待确认。</x:v>
      </x:c>
    </x:row>
    <x:row r="46">
      <x:c r="A46" s="12" t="str">
        <x:v>NBK-163596590</x:v>
      </x:c>
      <x:c r="B46" s="12" t="str">
        <x:v>Treptow-Köpenick</x:v>
      </x:c>
      <x:c r="C46" s="12" t="str">
        <x:v>Köpenick</x:v>
      </x:c>
      <x:c r="D46" s="12" t="str">
        <x:v>ACHTERDECK</x:v>
      </x:c>
      <x:c r="E46" s="12" t="str">
        <x:v>项目单元 163596590</x:v>
      </x:c>
      <x:c r="F46" s="12" t="str">
        <x:v>Wendenschloßstraße 330-332 · 12557</x:v>
      </x:c>
      <x:c r="G46" s="13" t="n">
        <x:v>449900</x:v>
      </x:c>
      <x:c r="H46" s="14" t="n">
        <x:v>74.83</x:v>
      </x:c>
      <x:c r="I46" s="19" t="n">
        <x:f>G46/H46</x:f>
        <x:v>6012.294534277697</x:v>
      </x:c>
      <x:c r="J46" s="15"/>
      <x:c r="K46" s="20" t="str">
        <x:f>IF(J46="","",$H$5-J46)</x:f>
      </x:c>
      <x:c r="L46" s="15"/>
      <x:c r="M46" s="18" t="str">
        <x:v>建造年待核</x:v>
      </x:c>
      <x:c r="N46" s="12" t="str">
        <x:v>开发商直售或项目页</x:v>
      </x:c>
      <x:c r="O46" s="12" t="n">
        <x:v>3</x:v>
      </x:c>
      <x:c r="P46" s="14" t="n">
        <x:v>15.6</x:v>
      </x:c>
      <x:c r="Q46" s="21" t="n">
        <x:f>H46*P46</x:f>
        <x:v>1167.348</x:v>
      </x:c>
      <x:c r="R46" s="22" t="n">
        <x:f>Q46*12/G46</x:f>
        <x:v>0.031136199155367857</x:v>
      </x:c>
      <x:c r="S46" s="23" t="n">
        <x:f>G46/(Q46*12)</x:f>
        <x:v>32.11695798225265</x:v>
      </x:c>
      <x:c r="T46" s="12" t="str">
        <x:v>即刻</x:v>
      </x:c>
      <x:c r="U46" s="13"/>
      <x:c r="V46" s="12" t="str">
        <x:v>项目页单元示例</x:v>
      </x:c>
      <x:c r="W46" s="12" t="str">
        <x:v>项目页列示，实际可售待确认</x:v>
      </x:c>
      <x:c r="X46" s="12" t="str">
        <x:v>2026-10-06</x:v>
      </x:c>
      <x:c r="Y46" s="12" t="str">
        <x:v>https://www.neubaukompass.de/neubau/achterdeck-berlin-koepenick-berlin/143476.html</x:v>
      </x:c>
      <x:c r="Z46" s="12" t="str">
        <x:v>项目页列示单元价格与面积；单套页面未能读取。实际可售和实际建造年待确认。</x:v>
      </x:c>
    </x:row>
    <x:row r="47">
      <x:c r="A47" s="12" t="str">
        <x:v>NBK-163258806</x:v>
      </x:c>
      <x:c r="B47" s="12" t="str">
        <x:v>Treptow-Köpenick</x:v>
      </x:c>
      <x:c r="C47" s="12" t="str">
        <x:v>Köpenick</x:v>
      </x:c>
      <x:c r="D47" s="12" t="str">
        <x:v>ACHTERDECK</x:v>
      </x:c>
      <x:c r="E47" s="12" t="str">
        <x:v>项目单元 163258806</x:v>
      </x:c>
      <x:c r="F47" s="12" t="str">
        <x:v>Wendenschloßstraße 330-332 · 12557</x:v>
      </x:c>
      <x:c r="G47" s="13" t="n">
        <x:v>469900</x:v>
      </x:c>
      <x:c r="H47" s="14" t="n">
        <x:v>75.15</x:v>
      </x:c>
      <x:c r="I47" s="19" t="n">
        <x:f>G47/H47</x:f>
        <x:v>6252.827677977378</x:v>
      </x:c>
      <x:c r="J47" s="15"/>
      <x:c r="K47" s="20" t="str">
        <x:f>IF(J47="","",$H$5-J47)</x:f>
      </x:c>
      <x:c r="L47" s="15"/>
      <x:c r="M47" s="18" t="str">
        <x:v>建造年待核</x:v>
      </x:c>
      <x:c r="N47" s="12" t="str">
        <x:v>开发商直售或项目页</x:v>
      </x:c>
      <x:c r="O47" s="12" t="n">
        <x:v>3</x:v>
      </x:c>
      <x:c r="P47" s="14" t="n">
        <x:v>15.6</x:v>
      </x:c>
      <x:c r="Q47" s="21" t="n">
        <x:f>H47*P47</x:f>
        <x:v>1172.3400000000001</x:v>
      </x:c>
      <x:c r="R47" s="22" t="n">
        <x:f>Q47*12/G47</x:f>
        <x:v>0.029938454990423496</x:v>
      </x:c>
      <x:c r="S47" s="23" t="n">
        <x:f>G47/(Q47*12)</x:f>
        <x:v>33.40185725415266</x:v>
      </x:c>
      <x:c r="T47" s="12" t="str">
        <x:v>即刻</x:v>
      </x:c>
      <x:c r="U47" s="13"/>
      <x:c r="V47" s="12" t="str">
        <x:v>项目页单元示例</x:v>
      </x:c>
      <x:c r="W47" s="12" t="str">
        <x:v>项目页列示，实际可售待确认</x:v>
      </x:c>
      <x:c r="X47" s="12" t="str">
        <x:v>2026-10-06</x:v>
      </x:c>
      <x:c r="Y47" s="12" t="str">
        <x:v>https://www.neubaukompass.de/neubau/achterdeck-berlin-koepenick-berlin/143476.html</x:v>
      </x:c>
      <x:c r="Z47" s="12" t="str">
        <x:v>项目页列示单元价格与面积；单套页面未能读取。实际可售和实际建造年待确认。</x:v>
      </x:c>
    </x:row>
    <x:row r="48">
      <x:c r="A48" s="12" t="str">
        <x:v>NBK-164372514</x:v>
      </x:c>
      <x:c r="B48" s="12" t="str">
        <x:v>Treptow-Köpenick</x:v>
      </x:c>
      <x:c r="C48" s="12" t="str">
        <x:v>Köpenick</x:v>
      </x:c>
      <x:c r="D48" s="12" t="str">
        <x:v>ACHTERDECK</x:v>
      </x:c>
      <x:c r="E48" s="12" t="str">
        <x:v>项目单元 164372514</x:v>
      </x:c>
      <x:c r="F48" s="12" t="str">
        <x:v>Wendenschloßstraße 330-332 · 12557</x:v>
      </x:c>
      <x:c r="G48" s="13" t="n">
        <x:v>499900</x:v>
      </x:c>
      <x:c r="H48" s="14" t="n">
        <x:v>75.13</x:v>
      </x:c>
      <x:c r="I48" s="19" t="n">
        <x:f>G48/H48</x:f>
        <x:v>6653.800079861574</x:v>
      </x:c>
      <x:c r="J48" s="15"/>
      <x:c r="K48" s="20" t="str">
        <x:f>IF(J48="","",$H$5-J48)</x:f>
      </x:c>
      <x:c r="L48" s="15"/>
      <x:c r="M48" s="18" t="str">
        <x:v>建造年待核</x:v>
      </x:c>
      <x:c r="N48" s="12" t="str">
        <x:v>开发商直售或项目页</x:v>
      </x:c>
      <x:c r="O48" s="12" t="n">
        <x:v>3</x:v>
      </x:c>
      <x:c r="P48" s="14" t="n">
        <x:v>15.6</x:v>
      </x:c>
      <x:c r="Q48" s="21" t="n">
        <x:f>H48*P48</x:f>
        <x:v>1172.0279999999998</x:v>
      </x:c>
      <x:c r="R48" s="22" t="n">
        <x:f>Q48*12/G48</x:f>
        <x:v>0.02813429885977195</x:v>
      </x:c>
      <x:c r="S48" s="23" t="n">
        <x:f>G48/(Q48*12)</x:f>
        <x:v>35.543803845414395</x:v>
      </x:c>
      <x:c r="T48" s="12" t="str">
        <x:v>即刻</x:v>
      </x:c>
      <x:c r="U48" s="13"/>
      <x:c r="V48" s="12" t="str">
        <x:v>项目页单元示例</x:v>
      </x:c>
      <x:c r="W48" s="12" t="str">
        <x:v>项目页列示，实际可售待确认</x:v>
      </x:c>
      <x:c r="X48" s="12" t="str">
        <x:v>2026-10-06</x:v>
      </x:c>
      <x:c r="Y48" s="12" t="str">
        <x:v>https://www.neubaukompass.de/neubau/achterdeck-berlin-koepenick-berlin/143476.html</x:v>
      </x:c>
      <x:c r="Z48" s="12" t="str">
        <x:v>项目页列示单元价格与面积；单套页面未能读取。实际可售和实际建造年待确认。</x:v>
      </x:c>
    </x:row>
    <x:row r="49">
      <x:c r="A49" s="12" t="str">
        <x:v>NBK-G36-W1</x:v>
      </x:c>
      <x:c r="B49" s="12" t="str">
        <x:v>Lichtenberg</x:v>
      </x:c>
      <x:c r="C49" s="12" t="str">
        <x:v>Lichtenberg</x:v>
      </x:c>
      <x:c r="D49" s="12" t="str">
        <x:v>GERN 36</x:v>
      </x:c>
      <x:c r="E49" s="12" t="str">
        <x:v>Wohnung 1</x:v>
      </x:c>
      <x:c r="F49" s="12" t="str">
        <x:v>Gernotstraße 36 · 10365</x:v>
      </x:c>
      <x:c r="G49" s="13" t="n">
        <x:v>350274</x:v>
      </x:c>
      <x:c r="H49" s="14" t="n">
        <x:v>44.46</x:v>
      </x:c>
      <x:c r="I49" s="19" t="n">
        <x:f>G49/H49</x:f>
        <x:v>7878.407557354925</x:v>
      </x:c>
      <x:c r="J49" s="15"/>
      <x:c r="K49" s="20" t="str">
        <x:f>IF(J49="","",$H$5-J49)</x:f>
      </x:c>
      <x:c r="L49" s="15"/>
      <x:c r="M49" s="18" t="str">
        <x:v>建造年待核</x:v>
      </x:c>
      <x:c r="N49" s="12" t="str">
        <x:v>开发商直售或项目页</x:v>
      </x:c>
      <x:c r="O49" s="12" t="n">
        <x:v>2</x:v>
      </x:c>
      <x:c r="P49" s="14" t="n">
        <x:v>13.33</x:v>
      </x:c>
      <x:c r="Q49" s="21" t="n">
        <x:f>H49*P49</x:f>
        <x:v>592.6518</x:v>
      </x:c>
      <x:c r="R49" s="22" t="n">
        <x:f>Q49*12/G49</x:f>
        <x:v>0.02030359547097415</x:v>
      </x:c>
      <x:c r="S49" s="23" t="n">
        <x:f>G49/(Q49*12)</x:f>
        <x:v>49.252360323549176</x:v>
      </x:c>
      <x:c r="T49" s="12" t="str">
        <x:v>待询</x:v>
      </x:c>
      <x:c r="U49" s="13"/>
      <x:c r="V49" s="12" t="str">
        <x:v>项目页单元示例</x:v>
      </x:c>
      <x:c r="W49" s="12" t="str">
        <x:v>页面可见，实际可售待确认</x:v>
      </x:c>
      <x:c r="X49" s="12" t="str">
        <x:v>2026-10-03</x:v>
      </x:c>
      <x:c r="Y49" s="12" t="str">
        <x:v>https://www.neubaukompass.de/neubau/gern-36-berlin/148787.html</x:v>
      </x:c>
      <x:c r="Z49" s="12" t="str">
        <x:v>交付时间待开发商确认；建造年份与预计交付年均待核实</x:v>
      </x:c>
    </x:row>
    <x:row r="50">
      <x:c r="A50" s="12" t="str">
        <x:v>NBK-G36-W6</x:v>
      </x:c>
      <x:c r="B50" s="12" t="str">
        <x:v>Lichtenberg</x:v>
      </x:c>
      <x:c r="C50" s="12" t="str">
        <x:v>Lichtenberg</x:v>
      </x:c>
      <x:c r="D50" s="12" t="str">
        <x:v>GERN 36</x:v>
      </x:c>
      <x:c r="E50" s="12" t="str">
        <x:v>Wohnung 6</x:v>
      </x:c>
      <x:c r="F50" s="12" t="str">
        <x:v>Gernotstraße 36 · 10365</x:v>
      </x:c>
      <x:c r="G50" s="13" t="n">
        <x:v>399900</x:v>
      </x:c>
      <x:c r="H50" s="14" t="n">
        <x:v>50.14</x:v>
      </x:c>
      <x:c r="I50" s="19" t="n">
        <x:f>G50/H50</x:f>
        <x:v>7975.668129238134</x:v>
      </x:c>
      <x:c r="J50" s="15"/>
      <x:c r="K50" s="20" t="str">
        <x:f>IF(J50="","",$H$5-J50)</x:f>
      </x:c>
      <x:c r="L50" s="15"/>
      <x:c r="M50" s="18" t="str">
        <x:v>建造年待核</x:v>
      </x:c>
      <x:c r="N50" s="12" t="str">
        <x:v>开发商直售或项目页</x:v>
      </x:c>
      <x:c r="O50" s="12" t="n">
        <x:v>2</x:v>
      </x:c>
      <x:c r="P50" s="14" t="n">
        <x:v>13.33</x:v>
      </x:c>
      <x:c r="Q50" s="21" t="n">
        <x:f>H50*P50</x:f>
        <x:v>668.3662</x:v>
      </x:c>
      <x:c r="R50" s="22" t="n">
        <x:f>Q50*12/G50</x:f>
        <x:v>0.020056</x:v>
      </x:c>
      <x:c r="S50" s="23" t="n">
        <x:f>G50/(Q50*12)</x:f>
        <x:v>49.86039090546469</x:v>
      </x:c>
      <x:c r="T50" s="12" t="str">
        <x:v>待询</x:v>
      </x:c>
      <x:c r="U50" s="13"/>
      <x:c r="V50" s="12" t="str">
        <x:v>项目页单元示例</x:v>
      </x:c>
      <x:c r="W50" s="12" t="str">
        <x:v>页面可见，实际可售待确认</x:v>
      </x:c>
      <x:c r="X50" s="12" t="str">
        <x:v>2026-10-03</x:v>
      </x:c>
      <x:c r="Y50" s="12" t="str">
        <x:v>https://www.neubaukompass.de/neubau/gern-36-berlin/148787.html</x:v>
      </x:c>
      <x:c r="Z50" s="12" t="str">
        <x:v>交付时间待开发商确认；建造年份与预计交付年均待核实</x:v>
      </x:c>
    </x:row>
    <x:row r="51">
      <x:c r="A51" s="12" t="str">
        <x:v>NBK-G36-W13</x:v>
      </x:c>
      <x:c r="B51" s="12" t="str">
        <x:v>Lichtenberg</x:v>
      </x:c>
      <x:c r="C51" s="12" t="str">
        <x:v>Lichtenberg</x:v>
      </x:c>
      <x:c r="D51" s="12" t="str">
        <x:v>GERN 36</x:v>
      </x:c>
      <x:c r="E51" s="12" t="str">
        <x:v>W13</x:v>
      </x:c>
      <x:c r="F51" s="12" t="str">
        <x:v>Gernotstraße 36 · 10365</x:v>
      </x:c>
      <x:c r="G51" s="13" t="n">
        <x:v>427122</x:v>
      </x:c>
      <x:c r="H51" s="14" t="n">
        <x:v>51.43</x:v>
      </x:c>
      <x:c r="I51" s="19" t="n">
        <x:f>G51/H51</x:f>
        <x:v>8304.919307797005</x:v>
      </x:c>
      <x:c r="J51" s="15"/>
      <x:c r="K51" s="20" t="str">
        <x:f>IF(J51="","",$H$5-J51)</x:f>
      </x:c>
      <x:c r="L51" s="15"/>
      <x:c r="M51" s="18" t="str">
        <x:v>建造年待核</x:v>
      </x:c>
      <x:c r="N51" s="12" t="str">
        <x:v>开发商直售或项目页</x:v>
      </x:c>
      <x:c r="O51" s="12" t="n">
        <x:v>2</x:v>
      </x:c>
      <x:c r="P51" s="14" t="n">
        <x:v>13.33</x:v>
      </x:c>
      <x:c r="Q51" s="21" t="n">
        <x:f>H51*P51</x:f>
        <x:v>685.5619</x:v>
      </x:c>
      <x:c r="R51" s="22" t="n">
        <x:f>Q51*12/G51</x:f>
        <x:v>0.01926087347408937</x:v>
      </x:c>
      <x:c r="S51" s="23" t="n">
        <x:f>G51/(Q51*12)</x:f>
        <x:v>51.91872535507005</x:v>
      </x:c>
      <x:c r="T51" s="12" t="str">
        <x:v>待询</x:v>
      </x:c>
      <x:c r="U51" s="13"/>
      <x:c r="V51" s="12" t="str">
        <x:v>项目页单元示例</x:v>
      </x:c>
      <x:c r="W51" s="12" t="str">
        <x:v>项目页列示，实际可售待确认</x:v>
      </x:c>
      <x:c r="X51" s="12" t="str">
        <x:v>2026-10-06</x:v>
      </x:c>
      <x:c r="Y51" s="12" t="str">
        <x:v>https://www.neubaukompass.de/neubau/gern-36-berlin/148787.html</x:v>
      </x:c>
      <x:c r="Z51" s="12" t="str">
        <x:v>项目页列示单元价格与面积；单套页面未能读取。实际可售和实际建造年待确认。</x:v>
      </x:c>
    </x:row>
    <x:row r="52">
      <x:c r="A52" s="12" t="str">
        <x:v>NBK-G36-W21</x:v>
      </x:c>
      <x:c r="B52" s="12" t="str">
        <x:v>Lichtenberg</x:v>
      </x:c>
      <x:c r="C52" s="12" t="str">
        <x:v>Lichtenberg</x:v>
      </x:c>
      <x:c r="D52" s="12" t="str">
        <x:v>GERN 36</x:v>
      </x:c>
      <x:c r="E52" s="12" t="str">
        <x:v>W21</x:v>
      </x:c>
      <x:c r="F52" s="12" t="str">
        <x:v>Gernotstraße 36 · 10365</x:v>
      </x:c>
      <x:c r="G52" s="13" t="n">
        <x:v>438101</x:v>
      </x:c>
      <x:c r="H52" s="14" t="n">
        <x:v>51.43</x:v>
      </x:c>
      <x:c r="I52" s="19" t="n">
        <x:f>G52/H52</x:f>
        <x:v>8518.393933501848</x:v>
      </x:c>
      <x:c r="J52" s="15"/>
      <x:c r="K52" s="20" t="str">
        <x:f>IF(J52="","",$H$5-J52)</x:f>
      </x:c>
      <x:c r="L52" s="15"/>
      <x:c r="M52" s="18" t="str">
        <x:v>建造年待核</x:v>
      </x:c>
      <x:c r="N52" s="12" t="str">
        <x:v>开发商直售或项目页</x:v>
      </x:c>
      <x:c r="O52" s="12" t="n">
        <x:v>2</x:v>
      </x:c>
      <x:c r="P52" s="14" t="n">
        <x:v>13.33</x:v>
      </x:c>
      <x:c r="Q52" s="21" t="n">
        <x:f>H52*P52</x:f>
        <x:v>685.5619</x:v>
      </x:c>
      <x:c r="R52" s="22" t="n">
        <x:f>Q52*12/G52</x:f>
        <x:v>0.0187781876781838</x:v>
      </x:c>
      <x:c r="S52" s="23" t="n">
        <x:f>G52/(Q52*12)</x:f>
        <x:v>53.25327540323735</x:v>
      </x:c>
      <x:c r="T52" s="12" t="str">
        <x:v>待询</x:v>
      </x:c>
      <x:c r="U52" s="13"/>
      <x:c r="V52" s="12" t="str">
        <x:v>项目页单元示例</x:v>
      </x:c>
      <x:c r="W52" s="12" t="str">
        <x:v>项目页列示，实际可售待确认</x:v>
      </x:c>
      <x:c r="X52" s="12" t="str">
        <x:v>2026-10-06</x:v>
      </x:c>
      <x:c r="Y52" s="12" t="str">
        <x:v>https://www.neubaukompass.de/neubau/gern-36-berlin/148787.html</x:v>
      </x:c>
      <x:c r="Z52" s="12" t="str">
        <x:v>项目页列示单元价格与面积；单套页面未能读取。实际可售和实际建造年待确认。</x:v>
      </x:c>
    </x:row>
    <x:row r="53">
      <x:c r="A53" s="12" t="str">
        <x:v>NBK-G36-W29</x:v>
      </x:c>
      <x:c r="B53" s="12" t="str">
        <x:v>Lichtenberg</x:v>
      </x:c>
      <x:c r="C53" s="12" t="str">
        <x:v>Lichtenberg</x:v>
      </x:c>
      <x:c r="D53" s="12" t="str">
        <x:v>GERN 36</x:v>
      </x:c>
      <x:c r="E53" s="12" t="str">
        <x:v>W29</x:v>
      </x:c>
      <x:c r="F53" s="12" t="str">
        <x:v>Gernotstraße 36 · 10365</x:v>
      </x:c>
      <x:c r="G53" s="13" t="n">
        <x:v>454568</x:v>
      </x:c>
      <x:c r="H53" s="14" t="n">
        <x:v>51.43</x:v>
      </x:c>
      <x:c r="I53" s="19" t="n">
        <x:f>G53/H53</x:f>
        <x:v>8838.576706202606</x:v>
      </x:c>
      <x:c r="J53" s="15"/>
      <x:c r="K53" s="20" t="str">
        <x:f>IF(J53="","",$H$5-J53)</x:f>
      </x:c>
      <x:c r="L53" s="15"/>
      <x:c r="M53" s="18" t="str">
        <x:v>建造年待核</x:v>
      </x:c>
      <x:c r="N53" s="12" t="str">
        <x:v>开发商直售或项目页</x:v>
      </x:c>
      <x:c r="O53" s="12" t="n">
        <x:v>2</x:v>
      </x:c>
      <x:c r="P53" s="14" t="n">
        <x:v>13.33</x:v>
      </x:c>
      <x:c r="Q53" s="21" t="n">
        <x:f>H53*P53</x:f>
        <x:v>685.5619</x:v>
      </x:c>
      <x:c r="R53" s="22" t="n">
        <x:f>Q53*12/G53</x:f>
        <x:v>0.018097936502349483</x:v>
      </x:c>
      <x:c r="S53" s="23" t="n">
        <x:f>G53/(Q53*12)</x:f>
        <x:v>55.25491814330211</x:v>
      </x:c>
      <x:c r="T53" s="12" t="str">
        <x:v>待询</x:v>
      </x:c>
      <x:c r="U53" s="13"/>
      <x:c r="V53" s="12" t="str">
        <x:v>项目页单元示例</x:v>
      </x:c>
      <x:c r="W53" s="12" t="str">
        <x:v>项目页列示，实际可售待确认</x:v>
      </x:c>
      <x:c r="X53" s="12" t="str">
        <x:v>2026-10-06</x:v>
      </x:c>
      <x:c r="Y53" s="12" t="str">
        <x:v>https://www.neubaukompass.de/neubau/gern-36-berlin/148787.html</x:v>
      </x:c>
      <x:c r="Z53" s="12" t="str">
        <x:v>项目页列示单元价格与面积；单套页面未能读取。实际可售和实际建造年待确认。</x:v>
      </x:c>
    </x:row>
    <x:row r="54">
      <x:c r="A54" s="12" t="str">
        <x:v>NBK-G36-W37</x:v>
      </x:c>
      <x:c r="B54" s="12" t="str">
        <x:v>Lichtenberg</x:v>
      </x:c>
      <x:c r="C54" s="12" t="str">
        <x:v>Lichtenberg</x:v>
      </x:c>
      <x:c r="D54" s="12" t="str">
        <x:v>GERN 36</x:v>
      </x:c>
      <x:c r="E54" s="12" t="str">
        <x:v>W37</x:v>
      </x:c>
      <x:c r="F54" s="12" t="str">
        <x:v>Gernotstraße 36 · 10365</x:v>
      </x:c>
      <x:c r="G54" s="13" t="n">
        <x:v>471036</x:v>
      </x:c>
      <x:c r="H54" s="14" t="n">
        <x:v>51.43</x:v>
      </x:c>
      <x:c r="I54" s="19" t="n">
        <x:f>G54/H54</x:f>
        <x:v>9158.7789228077</x:v>
      </x:c>
      <x:c r="J54" s="15"/>
      <x:c r="K54" s="20" t="str">
        <x:f>IF(J54="","",$H$5-J54)</x:f>
      </x:c>
      <x:c r="L54" s="15"/>
      <x:c r="M54" s="18" t="str">
        <x:v>建造年待核</x:v>
      </x:c>
      <x:c r="N54" s="12" t="str">
        <x:v>开发商直售或项目页</x:v>
      </x:c>
      <x:c r="O54" s="12" t="n">
        <x:v>2</x:v>
      </x:c>
      <x:c r="P54" s="14" t="n">
        <x:v>13.33</x:v>
      </x:c>
      <x:c r="Q54" s="21" t="n">
        <x:f>H54*P54</x:f>
        <x:v>685.5619</x:v>
      </x:c>
      <x:c r="R54" s="22" t="n">
        <x:f>Q54*12/G54</x:f>
        <x:v>0.01746521030239727</x:v>
      </x:c>
      <x:c r="S54" s="23" t="n">
        <x:f>G54/(Q54*12)</x:f>
        <x:v>57.25668243815766</x:v>
      </x:c>
      <x:c r="T54" s="12" t="str">
        <x:v>待询</x:v>
      </x:c>
      <x:c r="U54" s="13"/>
      <x:c r="V54" s="12" t="str">
        <x:v>项目页单元示例</x:v>
      </x:c>
      <x:c r="W54" s="12" t="str">
        <x:v>项目页列示，实际可售待确认</x:v>
      </x:c>
      <x:c r="X54" s="12" t="str">
        <x:v>2026-10-06</x:v>
      </x:c>
      <x:c r="Y54" s="12" t="str">
        <x:v>https://www.neubaukompass.de/neubau/gern-36-berlin/148787.html</x:v>
      </x:c>
      <x:c r="Z54" s="12" t="str">
        <x:v>项目页列示单元价格与面积；单套页面未能读取。实际可售和实际建造年待确认。</x:v>
      </x:c>
    </x:row>
    <x:row r="55">
      <x:c r="A55" s="12" t="str">
        <x:v>NBK-G36-W41</x:v>
      </x:c>
      <x:c r="B55" s="12" t="str">
        <x:v>Lichtenberg</x:v>
      </x:c>
      <x:c r="C55" s="12" t="str">
        <x:v>Lichtenberg</x:v>
      </x:c>
      <x:c r="D55" s="12" t="str">
        <x:v>GERN 36</x:v>
      </x:c>
      <x:c r="E55" s="12" t="str">
        <x:v>W41</x:v>
      </x:c>
      <x:c r="F55" s="12" t="str">
        <x:v>Gernotstraße 36 · 10365</x:v>
      </x:c>
      <x:c r="G55" s="13" t="n">
        <x:v>479011</x:v>
      </x:c>
      <x:c r="H55" s="14" t="n">
        <x:v>49.97</x:v>
      </x:c>
      <x:c r="I55" s="19" t="n">
        <x:f>G55/H55</x:f>
        <x:v>9585.97158294977</x:v>
      </x:c>
      <x:c r="J55" s="15"/>
      <x:c r="K55" s="20" t="str">
        <x:f>IF(J55="","",$H$5-J55)</x:f>
      </x:c>
      <x:c r="L55" s="15"/>
      <x:c r="M55" s="18" t="str">
        <x:v>建造年待核</x:v>
      </x:c>
      <x:c r="N55" s="12" t="str">
        <x:v>开发商直售或项目页</x:v>
      </x:c>
      <x:c r="O55" s="12" t="n">
        <x:v>1</x:v>
      </x:c>
      <x:c r="P55" s="14" t="n">
        <x:v>13.33</x:v>
      </x:c>
      <x:c r="Q55" s="21" t="n">
        <x:f>H55*P55</x:f>
        <x:v>666.1001</x:v>
      </x:c>
      <x:c r="R55" s="22" t="n">
        <x:f>Q55*12/G55</x:f>
        <x:v>0.01668688443480421</x:v>
      </x:c>
      <x:c r="S55" s="23" t="n">
        <x:f>G55/(Q55*12)</x:f>
        <x:v>59.927304219490935</x:v>
      </x:c>
      <x:c r="T55" s="12" t="str">
        <x:v>待询</x:v>
      </x:c>
      <x:c r="U55" s="13"/>
      <x:c r="V55" s="12" t="str">
        <x:v>项目页单元示例</x:v>
      </x:c>
      <x:c r="W55" s="12" t="str">
        <x:v>项目页列示，实际可售待确认</x:v>
      </x:c>
      <x:c r="X55" s="12" t="str">
        <x:v>2026-10-06</x:v>
      </x:c>
      <x:c r="Y55" s="12" t="str">
        <x:v>https://www.neubaukompass.de/neubau/gern-36-berlin/148787.html</x:v>
      </x:c>
      <x:c r="Z55" s="12" t="str">
        <x:v>项目页列示单元价格与面积；单套页面未能读取。实际可售和实际建造年待确认。</x:v>
      </x:c>
    </x:row>
    <x:row r="56">
      <x:c r="A56" s="12" t="str">
        <x:v>NBK-G36-W39</x:v>
      </x:c>
      <x:c r="B56" s="12" t="str">
        <x:v>Lichtenberg</x:v>
      </x:c>
      <x:c r="C56" s="12" t="str">
        <x:v>Lichtenberg</x:v>
      </x:c>
      <x:c r="D56" s="12" t="str">
        <x:v>GERN 36</x:v>
      </x:c>
      <x:c r="E56" s="12" t="str">
        <x:v>W39</x:v>
      </x:c>
      <x:c r="F56" s="12" t="str">
        <x:v>Gernotstraße 36 · 10365</x:v>
      </x:c>
      <x:c r="G56" s="13" t="n">
        <x:v>435647</x:v>
      </x:c>
      <x:c r="H56" s="14" t="n">
        <x:v>45.24</x:v>
      </x:c>
      <x:c r="I56" s="19" t="n">
        <x:f>G56/H56</x:f>
        <x:v>9629.686118479221</x:v>
      </x:c>
      <x:c r="J56" s="15"/>
      <x:c r="K56" s="20" t="str">
        <x:f>IF(J56="","",$H$5-J56)</x:f>
      </x:c>
      <x:c r="L56" s="15"/>
      <x:c r="M56" s="18" t="str">
        <x:v>建造年待核</x:v>
      </x:c>
      <x:c r="N56" s="12" t="str">
        <x:v>开发商直售或项目页</x:v>
      </x:c>
      <x:c r="O56" s="12" t="n">
        <x:v>1</x:v>
      </x:c>
      <x:c r="P56" s="14" t="n">
        <x:v>13.33</x:v>
      </x:c>
      <x:c r="Q56" s="21" t="n">
        <x:f>H56*P56</x:f>
        <x:v>603.0492</x:v>
      </x:c>
      <x:c r="R56" s="22" t="n">
        <x:f>Q56*12/G56</x:f>
        <x:v>0.01661113332583491</x:v>
      </x:c>
      <x:c r="S56" s="23" t="n">
        <x:f>G56/(Q56*12)</x:f>
        <x:v>60.20058838759203</x:v>
      </x:c>
      <x:c r="T56" s="12" t="str">
        <x:v>待询</x:v>
      </x:c>
      <x:c r="U56" s="13"/>
      <x:c r="V56" s="12" t="str">
        <x:v>项目页单元示例</x:v>
      </x:c>
      <x:c r="W56" s="12" t="str">
        <x:v>项目页列示，实际可售待确认</x:v>
      </x:c>
      <x:c r="X56" s="12" t="str">
        <x:v>2026-10-06</x:v>
      </x:c>
      <x:c r="Y56" s="12" t="str">
        <x:v>https://www.neubaukompass.de/neubau/gern-36-berlin/148787.html</x:v>
      </x:c>
      <x:c r="Z56" s="12" t="str">
        <x:v>项目页列示单元价格与面积；单套页面未能读取。实际可售和实际建造年待确认。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3" hidden="0" customWidth="1"/>
    <x:col min="2" max="2" width="17" hidden="0" customWidth="1"/>
    <x:col min="3" max="3" width="18" hidden="0" customWidth="1"/>
    <x:col min="4" max="4" width="15" hidden="0" customWidth="1"/>
    <x:col min="5" max="5" width="15" hidden="0" customWidth="1"/>
    <x:col min="6" max="6" width="17" hidden="0" customWidth="1"/>
    <x:col min="7" max="7" width="20" hidden="0" customWidth="1"/>
    <x:col min="8" max="8" width="35" hidden="0" customWidth="1"/>
    <x:col min="9" max="9" width="72" hidden="0" customWidth="1"/>
  </x:cols>
  <x:sheetData>
    <x:row r="2">
      <x:c r="A2" s="1" t="str">
        <x:v>柏林房源｜价格与年份观察记录</x:v>
      </x:c>
    </x:row>
    <x:row r="3">
      <x:c r="A3" t="str">
        <x:v>历史按观察日保留；早期记录未采集建造年时保持空白，不补造历史值。</x:v>
      </x:c>
    </x:row>
    <x:row r="5" ht="30" customHeight="1">
      <x:c r="A5" s="5" t="str">
        <x:v>ID</x:v>
      </x:c>
      <x:c r="B5" s="5" t="str">
        <x:v>观察日</x:v>
      </x:c>
      <x:c r="C5" s="5" t="str">
        <x:v>挂牌价 €</x:v>
      </x:c>
      <x:c r="D5" s="5" t="str">
        <x:v>面积 m²</x:v>
      </x:c>
      <x:c r="E5" s="5" t="str">
        <x:v>建造年份</x:v>
      </x:c>
      <x:c r="F5" s="5" t="str">
        <x:v>预计交付年</x:v>
      </x:c>
      <x:c r="G5" s="5" t="str">
        <x:v>年份核验</x:v>
      </x:c>
      <x:c r="H5" s="5" t="str">
        <x:v>页面状态</x:v>
      </x:c>
      <x:c r="I5" s="5" t="str">
        <x:v>链接</x:v>
      </x:c>
    </x:row>
    <x:row r="6">
      <x:c r="A6" s="12" t="str">
        <x:v>NBK-163258806</x:v>
      </x:c>
      <x:c r="B6" s="12" t="str">
        <x:v>2026-10-06</x:v>
      </x:c>
      <x:c r="C6" s="13" t="n">
        <x:v>469900</x:v>
      </x:c>
      <x:c r="D6" s="14" t="n">
        <x:v>75.15</x:v>
      </x:c>
      <x:c r="E6" s="15"/>
      <x:c r="F6" s="15"/>
      <x:c r="G6" s="12" t="str">
        <x:v>建造年待核</x:v>
      </x:c>
      <x:c r="H6" s="12" t="str">
        <x:v>项目页列示，实际可售待确认</x:v>
      </x:c>
      <x:c r="I6" s="12" t="str">
        <x:v>https://www.neubaukompass.de/neubau/achterdeck-berlin-koepenick-berlin/143476.html</x:v>
      </x:c>
    </x:row>
    <x:row r="7">
      <x:c r="A7" s="12" t="str">
        <x:v>NBK-163596590</x:v>
      </x:c>
      <x:c r="B7" s="12" t="str">
        <x:v>2026-10-06</x:v>
      </x:c>
      <x:c r="C7" s="13" t="n">
        <x:v>449900</x:v>
      </x:c>
      <x:c r="D7" s="14" t="n">
        <x:v>74.83</x:v>
      </x:c>
      <x:c r="E7" s="15"/>
      <x:c r="F7" s="15"/>
      <x:c r="G7" s="12" t="str">
        <x:v>建造年待核</x:v>
      </x:c>
      <x:c r="H7" s="12" t="str">
        <x:v>项目页列示，实际可售待确认</x:v>
      </x:c>
      <x:c r="I7" s="12" t="str">
        <x:v>https://www.neubaukompass.de/neubau/achterdeck-berlin-koepenick-berlin/143476.html</x:v>
      </x:c>
    </x:row>
    <x:row r="8">
      <x:c r="A8" s="12" t="str">
        <x:v>NBK-164078324</x:v>
      </x:c>
      <x:c r="B8" s="12" t="str">
        <x:v>2026-10-06</x:v>
      </x:c>
      <x:c r="C8" s="13" t="n">
        <x:v>449900</x:v>
      </x:c>
      <x:c r="D8" s="14" t="n">
        <x:v>77.6</x:v>
      </x:c>
      <x:c r="E8" s="15"/>
      <x:c r="F8" s="15"/>
      <x:c r="G8" s="12" t="str">
        <x:v>建造年待核</x:v>
      </x:c>
      <x:c r="H8" s="12" t="str">
        <x:v>项目页列示，实际可售待确认</x:v>
      </x:c>
      <x:c r="I8" s="12" t="str">
        <x:v>https://www.neubaukompass.de/neubau/achterdeck-berlin-koepenick-berlin/143476.html</x:v>
      </x:c>
    </x:row>
    <x:row r="9">
      <x:c r="A9" s="12" t="str">
        <x:v>NBK-164372514</x:v>
      </x:c>
      <x:c r="B9" s="12" t="str">
        <x:v>2026-10-06</x:v>
      </x:c>
      <x:c r="C9" s="13" t="n">
        <x:v>499900</x:v>
      </x:c>
      <x:c r="D9" s="14" t="n">
        <x:v>75.13</x:v>
      </x:c>
      <x:c r="E9" s="15"/>
      <x:c r="F9" s="15"/>
      <x:c r="G9" s="12" t="str">
        <x:v>建造年待核</x:v>
      </x:c>
      <x:c r="H9" s="12" t="str">
        <x:v>项目页列示，实际可售待确认</x:v>
      </x:c>
      <x:c r="I9" s="12" t="str">
        <x:v>https://www.neubaukompass.de/neubau/achterdeck-berlin-koepenick-berlin/143476.html</x:v>
      </x:c>
    </x:row>
    <x:row r="10">
      <x:c r="A10" s="12" t="str">
        <x:v>NBK-164987374</x:v>
      </x:c>
      <x:c r="B10" s="12" t="str">
        <x:v>2026-10-06</x:v>
      </x:c>
      <x:c r="C10" s="13" t="n">
        <x:v>449900</x:v>
      </x:c>
      <x:c r="D10" s="14" t="n">
        <x:v>77.79</x:v>
      </x:c>
      <x:c r="E10" s="15"/>
      <x:c r="F10" s="15"/>
      <x:c r="G10" s="12" t="str">
        <x:v>建造年待核</x:v>
      </x:c>
      <x:c r="H10" s="12" t="str">
        <x:v>项目页列示，实际可售待确认</x:v>
      </x:c>
      <x:c r="I10" s="12" t="str">
        <x:v>https://www.neubaukompass.de/neubau/achterdeck-berlin-koepenick-berlin/143476.html</x:v>
      </x:c>
    </x:row>
    <x:row r="11">
      <x:c r="A11" s="12" t="str">
        <x:v>NBK-168966990</x:v>
      </x:c>
      <x:c r="B11" s="12" t="str">
        <x:v>2026-10-06</x:v>
      </x:c>
      <x:c r="C11" s="13" t="n">
        <x:v>324900</x:v>
      </x:c>
      <x:c r="D11" s="14" t="n">
        <x:v>45.13</x:v>
      </x:c>
      <x:c r="E11" s="15"/>
      <x:c r="F11" s="15" t="n">
        <x:v>2027</x:v>
      </x:c>
      <x:c r="G11" s="12" t="str">
        <x:v>期房-待交付</x:v>
      </x:c>
      <x:c r="H11" s="12" t="str">
        <x:v>项目页列示，实际可售待确认</x:v>
      </x:c>
      <x:c r="I11" s="12" t="str">
        <x:v>https://www.neubaukompass.de/neubau/borsig-green-living-berlin/148769.html</x:v>
      </x:c>
    </x:row>
    <x:row r="12">
      <x:c r="A12" s="12" t="str">
        <x:v>NBK-168966995</x:v>
      </x:c>
      <x:c r="B12" s="12" t="str">
        <x:v>2026-10-06</x:v>
      </x:c>
      <x:c r="C12" s="13" t="n">
        <x:v>324900</x:v>
      </x:c>
      <x:c r="D12" s="14" t="n">
        <x:v>45.21</x:v>
      </x:c>
      <x:c r="E12" s="15"/>
      <x:c r="F12" s="15" t="n">
        <x:v>2027</x:v>
      </x:c>
      <x:c r="G12" s="12" t="str">
        <x:v>期房-待交付</x:v>
      </x:c>
      <x:c r="H12" s="12" t="str">
        <x:v>项目页列示，实际可售待确认</x:v>
      </x:c>
      <x:c r="I12" s="12" t="str">
        <x:v>https://www.neubaukompass.de/neubau/borsig-green-living-berlin/148769.html</x:v>
      </x:c>
    </x:row>
    <x:row r="13">
      <x:c r="A13" s="12" t="str">
        <x:v>NBK-168982516</x:v>
      </x:c>
      <x:c r="B13" s="12" t="str">
        <x:v>2026-10-06</x:v>
      </x:c>
      <x:c r="C13" s="13" t="n">
        <x:v>348900</x:v>
      </x:c>
      <x:c r="D13" s="14" t="n">
        <x:v>51.67</x:v>
      </x:c>
      <x:c r="E13" s="15"/>
      <x:c r="F13" s="15" t="n">
        <x:v>2027</x:v>
      </x:c>
      <x:c r="G13" s="12" t="str">
        <x:v>期房-待交付</x:v>
      </x:c>
      <x:c r="H13" s="12" t="str">
        <x:v>项目页列示，实际可售待确认</x:v>
      </x:c>
      <x:c r="I13" s="12" t="str">
        <x:v>https://www.neubaukompass.de/neubau/borsig-green-living-berlin/148769.html</x:v>
      </x:c>
    </x:row>
    <x:row r="14">
      <x:c r="A14" s="12" t="str">
        <x:v>NBK-168982557</x:v>
      </x:c>
      <x:c r="B14" s="12" t="str">
        <x:v>2026-10-06</x:v>
      </x:c>
      <x:c r="C14" s="13" t="n">
        <x:v>303300</x:v>
      </x:c>
      <x:c r="D14" s="14" t="n">
        <x:v>46.87</x:v>
      </x:c>
      <x:c r="E14" s="15"/>
      <x:c r="F14" s="15" t="n">
        <x:v>2027</x:v>
      </x:c>
      <x:c r="G14" s="12" t="str">
        <x:v>期房-待交付</x:v>
      </x:c>
      <x:c r="H14" s="12" t="str">
        <x:v>项目页列示，实际可售待确认</x:v>
      </x:c>
      <x:c r="I14" s="12" t="str">
        <x:v>https://www.neubaukompass.de/neubau/borsig-green-living-berlin/148769.html</x:v>
      </x:c>
    </x:row>
    <x:row r="15">
      <x:c r="A15" s="12" t="str">
        <x:v>NBK-168982586</x:v>
      </x:c>
      <x:c r="B15" s="12" t="str">
        <x:v>2026-10-06</x:v>
      </x:c>
      <x:c r="C15" s="13" t="n">
        <x:v>342900</x:v>
      </x:c>
      <x:c r="D15" s="14" t="n">
        <x:v>45.13</x:v>
      </x:c>
      <x:c r="E15" s="15"/>
      <x:c r="F15" s="15" t="n">
        <x:v>2027</x:v>
      </x:c>
      <x:c r="G15" s="12" t="str">
        <x:v>期房-待交付</x:v>
      </x:c>
      <x:c r="H15" s="12" t="str">
        <x:v>项目页列示，实际可售待确认</x:v>
      </x:c>
      <x:c r="I15" s="12" t="str">
        <x:v>https://www.neubaukompass.de/neubau/borsig-green-living-berlin/148769.html</x:v>
      </x:c>
    </x:row>
    <x:row r="16">
      <x:c r="A16" s="12" t="str">
        <x:v>NBK-168982601</x:v>
      </x:c>
      <x:c r="B16" s="12" t="str">
        <x:v>2026-10-06</x:v>
      </x:c>
      <x:c r="C16" s="13" t="n">
        <x:v>342900</x:v>
      </x:c>
      <x:c r="D16" s="14" t="n">
        <x:v>45.13</x:v>
      </x:c>
      <x:c r="E16" s="15"/>
      <x:c r="F16" s="15" t="n">
        <x:v>2027</x:v>
      </x:c>
      <x:c r="G16" s="12" t="str">
        <x:v>期房-待交付</x:v>
      </x:c>
      <x:c r="H16" s="12" t="str">
        <x:v>项目页列示，实际可售待确认</x:v>
      </x:c>
      <x:c r="I16" s="12" t="str">
        <x:v>https://www.neubaukompass.de/neubau/borsig-green-living-berlin/148769.html</x:v>
      </x:c>
    </x:row>
    <x:row r="17">
      <x:c r="A17" s="12" t="str">
        <x:v>NBK-168982607</x:v>
      </x:c>
      <x:c r="B17" s="12" t="str">
        <x:v>2026-10-06</x:v>
      </x:c>
      <x:c r="C17" s="13" t="n">
        <x:v>342900</x:v>
      </x:c>
      <x:c r="D17" s="14" t="n">
        <x:v>45.21</x:v>
      </x:c>
      <x:c r="E17" s="15"/>
      <x:c r="F17" s="15" t="n">
        <x:v>2027</x:v>
      </x:c>
      <x:c r="G17" s="12" t="str">
        <x:v>期房-待交付</x:v>
      </x:c>
      <x:c r="H17" s="12" t="str">
        <x:v>项目页列示，实际可售待确认</x:v>
      </x:c>
      <x:c r="I17" s="12" t="str">
        <x:v>https://www.neubaukompass.de/neubau/borsig-green-living-berlin/148769.html</x:v>
      </x:c>
    </x:row>
    <x:row r="18">
      <x:c r="A18" s="12" t="str">
        <x:v>NBK-168982612</x:v>
      </x:c>
      <x:c r="B18" s="12" t="str">
        <x:v>2026-10-06</x:v>
      </x:c>
      <x:c r="C18" s="13" t="n">
        <x:v>324900</x:v>
      </x:c>
      <x:c r="D18" s="14" t="n">
        <x:v>45.21</x:v>
      </x:c>
      <x:c r="E18" s="15"/>
      <x:c r="F18" s="15" t="n">
        <x:v>2027</x:v>
      </x:c>
      <x:c r="G18" s="12" t="str">
        <x:v>期房-待交付</x:v>
      </x:c>
      <x:c r="H18" s="12" t="str">
        <x:v>项目页列示，实际可售待确认</x:v>
      </x:c>
      <x:c r="I18" s="12" t="str">
        <x:v>https://www.neubaukompass.de/neubau/borsig-green-living-berlin/148769.html</x:v>
      </x:c>
    </x:row>
    <x:row r="19">
      <x:c r="A19" s="12" t="str">
        <x:v>NBK-FL-48.04-398</x:v>
      </x:c>
      <x:c r="B19" s="12" t="str">
        <x:v>2026-10-06</x:v>
      </x:c>
      <x:c r="C19" s="13" t="n">
        <x:v>398000</x:v>
      </x:c>
      <x:c r="D19" s="14" t="n">
        <x:v>48.04</x:v>
      </x:c>
      <x:c r="E19" s="15"/>
      <x:c r="F19" s="15" t="n">
        <x:v>2027</x:v>
      </x:c>
      <x:c r="G19" s="12" t="str">
        <x:v>期房-待交付</x:v>
      </x:c>
      <x:c r="H19" s="12" t="str">
        <x:v>项目页列示，实际可售待确认</x:v>
      </x:c>
      <x:c r="I19" s="12" t="str">
        <x:v>https://www.neubaukompass.de/neubau/unsere-flora-berlin/151083.html</x:v>
      </x:c>
    </x:row>
    <x:row r="20">
      <x:c r="A20" s="12" t="str">
        <x:v>NBK-FL-48.41-419</x:v>
      </x:c>
      <x:c r="B20" s="12" t="str">
        <x:v>2026-10-06</x:v>
      </x:c>
      <x:c r="C20" s="13" t="n">
        <x:v>419000</x:v>
      </x:c>
      <x:c r="D20" s="14" t="n">
        <x:v>48.41</x:v>
      </x:c>
      <x:c r="E20" s="15"/>
      <x:c r="F20" s="15" t="n">
        <x:v>2027</x:v>
      </x:c>
      <x:c r="G20" s="12" t="str">
        <x:v>期房-待交付</x:v>
      </x:c>
      <x:c r="H20" s="12" t="str">
        <x:v>项目页列示，实际可售待确认</x:v>
      </x:c>
      <x:c r="I20" s="12" t="str">
        <x:v>https://www.neubaukompass.de/neubau/unsere-flora-berlin/151083.html</x:v>
      </x:c>
    </x:row>
    <x:row r="21">
      <x:c r="A21" s="12" t="str">
        <x:v>NBK-FL-48.41-429</x:v>
      </x:c>
      <x:c r="B21" s="12" t="str">
        <x:v>2026-10-06</x:v>
      </x:c>
      <x:c r="C21" s="13" t="n">
        <x:v>429000</x:v>
      </x:c>
      <x:c r="D21" s="14" t="n">
        <x:v>48.41</x:v>
      </x:c>
      <x:c r="E21" s="15"/>
      <x:c r="F21" s="15" t="n">
        <x:v>2027</x:v>
      </x:c>
      <x:c r="G21" s="12" t="str">
        <x:v>期房-待交付</x:v>
      </x:c>
      <x:c r="H21" s="12" t="str">
        <x:v>项目页列示，实际可售待确认</x:v>
      </x:c>
      <x:c r="I21" s="12" t="str">
        <x:v>https://www.neubaukompass.de/neubau/unsere-flora-berlin/151083.html</x:v>
      </x:c>
    </x:row>
    <x:row r="22">
      <x:c r="A22" s="12" t="str">
        <x:v>NBK-FL-48.41-439</x:v>
      </x:c>
      <x:c r="B22" s="12" t="str">
        <x:v>2026-10-06</x:v>
      </x:c>
      <x:c r="C22" s="13" t="n">
        <x:v>439000</x:v>
      </x:c>
      <x:c r="D22" s="14" t="n">
        <x:v>48.41</x:v>
      </x:c>
      <x:c r="E22" s="15"/>
      <x:c r="F22" s="15" t="n">
        <x:v>2027</x:v>
      </x:c>
      <x:c r="G22" s="12" t="str">
        <x:v>期房-待交付</x:v>
      </x:c>
      <x:c r="H22" s="12" t="str">
        <x:v>项目页列示，实际可售待确认</x:v>
      </x:c>
      <x:c r="I22" s="12" t="str">
        <x:v>https://www.neubaukompass.de/neubau/unsere-flora-berlin/151083.html</x:v>
      </x:c>
    </x:row>
    <x:row r="23">
      <x:c r="A23" s="12" t="str">
        <x:v>NBK-FL-53.66-459</x:v>
      </x:c>
      <x:c r="B23" s="12" t="str">
        <x:v>2026-10-06</x:v>
      </x:c>
      <x:c r="C23" s="13" t="n">
        <x:v>459000</x:v>
      </x:c>
      <x:c r="D23" s="14" t="n">
        <x:v>53.66</x:v>
      </x:c>
      <x:c r="E23" s="15"/>
      <x:c r="F23" s="15" t="n">
        <x:v>2027</x:v>
      </x:c>
      <x:c r="G23" s="12" t="str">
        <x:v>期房-待交付</x:v>
      </x:c>
      <x:c r="H23" s="12" t="str">
        <x:v>项目页列示，实际可售待确认</x:v>
      </x:c>
      <x:c r="I23" s="12" t="str">
        <x:v>https://www.neubaukompass.de/neubau/unsere-flora-berlin/151083.html</x:v>
      </x:c>
    </x:row>
    <x:row r="24">
      <x:c r="A24" s="12" t="str">
        <x:v>NBK-FL-53.66-469</x:v>
      </x:c>
      <x:c r="B24" s="12" t="str">
        <x:v>2026-10-06</x:v>
      </x:c>
      <x:c r="C24" s="13" t="n">
        <x:v>469000</x:v>
      </x:c>
      <x:c r="D24" s="14" t="n">
        <x:v>53.66</x:v>
      </x:c>
      <x:c r="E24" s="15"/>
      <x:c r="F24" s="15" t="n">
        <x:v>2027</x:v>
      </x:c>
      <x:c r="G24" s="12" t="str">
        <x:v>期房-待交付</x:v>
      </x:c>
      <x:c r="H24" s="12" t="str">
        <x:v>项目页列示，实际可售待确认</x:v>
      </x:c>
      <x:c r="I24" s="12" t="str">
        <x:v>https://www.neubaukompass.de/neubau/unsere-flora-berlin/151083.html</x:v>
      </x:c>
    </x:row>
    <x:row r="25">
      <x:c r="A25" s="12" t="str">
        <x:v>NBK-FL-53.66-479</x:v>
      </x:c>
      <x:c r="B25" s="12" t="str">
        <x:v>2026-10-06</x:v>
      </x:c>
      <x:c r="C25" s="13" t="n">
        <x:v>479000</x:v>
      </x:c>
      <x:c r="D25" s="14" t="n">
        <x:v>53.66</x:v>
      </x:c>
      <x:c r="E25" s="15"/>
      <x:c r="F25" s="15" t="n">
        <x:v>2027</x:v>
      </x:c>
      <x:c r="G25" s="12" t="str">
        <x:v>期房-待交付</x:v>
      </x:c>
      <x:c r="H25" s="12" t="str">
        <x:v>项目页列示，实际可售待确认</x:v>
      </x:c>
      <x:c r="I25" s="12" t="str">
        <x:v>https://www.neubaukompass.de/neubau/unsere-flora-berlin/151083.html</x:v>
      </x:c>
    </x:row>
    <x:row r="26">
      <x:c r="A26" s="12" t="str">
        <x:v>NBK-FL-59.44-499</x:v>
      </x:c>
      <x:c r="B26" s="12" t="str">
        <x:v>2026-10-06</x:v>
      </x:c>
      <x:c r="C26" s="13" t="n">
        <x:v>499000</x:v>
      </x:c>
      <x:c r="D26" s="14" t="n">
        <x:v>59.44</x:v>
      </x:c>
      <x:c r="E26" s="15"/>
      <x:c r="F26" s="15" t="n">
        <x:v>2027</x:v>
      </x:c>
      <x:c r="G26" s="12" t="str">
        <x:v>期房-待交付</x:v>
      </x:c>
      <x:c r="H26" s="12" t="str">
        <x:v>项目页列示，实际可售待确认</x:v>
      </x:c>
      <x:c r="I26" s="12" t="str">
        <x:v>https://www.neubaukompass.de/neubau/unsere-flora-berlin/151083.html</x:v>
      </x:c>
    </x:row>
    <x:row r="27">
      <x:c r="A27" s="12" t="str">
        <x:v>NBK-G36-W13</x:v>
      </x:c>
      <x:c r="B27" s="12" t="str">
        <x:v>2026-10-06</x:v>
      </x:c>
      <x:c r="C27" s="13" t="n">
        <x:v>427122</x:v>
      </x:c>
      <x:c r="D27" s="14" t="n">
        <x:v>51.43</x:v>
      </x:c>
      <x:c r="E27" s="15"/>
      <x:c r="F27" s="15"/>
      <x:c r="G27" s="12" t="str">
        <x:v>建造年待核</x:v>
      </x:c>
      <x:c r="H27" s="12" t="str">
        <x:v>项目页列示，实际可售待确认</x:v>
      </x:c>
      <x:c r="I27" s="12" t="str">
        <x:v>https://www.neubaukompass.de/neubau/gern-36-berlin/148787.html</x:v>
      </x:c>
    </x:row>
    <x:row r="28">
      <x:c r="A28" s="12" t="str">
        <x:v>NBK-G36-W21</x:v>
      </x:c>
      <x:c r="B28" s="12" t="str">
        <x:v>2026-10-06</x:v>
      </x:c>
      <x:c r="C28" s="13" t="n">
        <x:v>438101</x:v>
      </x:c>
      <x:c r="D28" s="14" t="n">
        <x:v>51.43</x:v>
      </x:c>
      <x:c r="E28" s="15"/>
      <x:c r="F28" s="15"/>
      <x:c r="G28" s="12" t="str">
        <x:v>建造年待核</x:v>
      </x:c>
      <x:c r="H28" s="12" t="str">
        <x:v>项目页列示，实际可售待确认</x:v>
      </x:c>
      <x:c r="I28" s="12" t="str">
        <x:v>https://www.neubaukompass.de/neubau/gern-36-berlin/148787.html</x:v>
      </x:c>
    </x:row>
    <x:row r="29">
      <x:c r="A29" s="12" t="str">
        <x:v>NBK-G36-W29</x:v>
      </x:c>
      <x:c r="B29" s="12" t="str">
        <x:v>2026-10-06</x:v>
      </x:c>
      <x:c r="C29" s="13" t="n">
        <x:v>454568</x:v>
      </x:c>
      <x:c r="D29" s="14" t="n">
        <x:v>51.43</x:v>
      </x:c>
      <x:c r="E29" s="15"/>
      <x:c r="F29" s="15"/>
      <x:c r="G29" s="12" t="str">
        <x:v>建造年待核</x:v>
      </x:c>
      <x:c r="H29" s="12" t="str">
        <x:v>项目页列示，实际可售待确认</x:v>
      </x:c>
      <x:c r="I29" s="12" t="str">
        <x:v>https://www.neubaukompass.de/neubau/gern-36-berlin/148787.html</x:v>
      </x:c>
    </x:row>
    <x:row r="30">
      <x:c r="A30" s="12" t="str">
        <x:v>NBK-G36-W37</x:v>
      </x:c>
      <x:c r="B30" s="12" t="str">
        <x:v>2026-10-06</x:v>
      </x:c>
      <x:c r="C30" s="13" t="n">
        <x:v>471036</x:v>
      </x:c>
      <x:c r="D30" s="14" t="n">
        <x:v>51.43</x:v>
      </x:c>
      <x:c r="E30" s="15"/>
      <x:c r="F30" s="15"/>
      <x:c r="G30" s="12" t="str">
        <x:v>建造年待核</x:v>
      </x:c>
      <x:c r="H30" s="12" t="str">
        <x:v>项目页列示，实际可售待确认</x:v>
      </x:c>
      <x:c r="I30" s="12" t="str">
        <x:v>https://www.neubaukompass.de/neubau/gern-36-berlin/148787.html</x:v>
      </x:c>
    </x:row>
    <x:row r="31">
      <x:c r="A31" s="12" t="str">
        <x:v>NBK-G36-W39</x:v>
      </x:c>
      <x:c r="B31" s="12" t="str">
        <x:v>2026-10-06</x:v>
      </x:c>
      <x:c r="C31" s="13" t="n">
        <x:v>435647</x:v>
      </x:c>
      <x:c r="D31" s="14" t="n">
        <x:v>45.24</x:v>
      </x:c>
      <x:c r="E31" s="15"/>
      <x:c r="F31" s="15"/>
      <x:c r="G31" s="12" t="str">
        <x:v>建造年待核</x:v>
      </x:c>
      <x:c r="H31" s="12" t="str">
        <x:v>项目页列示，实际可售待确认</x:v>
      </x:c>
      <x:c r="I31" s="12" t="str">
        <x:v>https://www.neubaukompass.de/neubau/gern-36-berlin/148787.html</x:v>
      </x:c>
    </x:row>
    <x:row r="32">
      <x:c r="A32" s="12" t="str">
        <x:v>NBK-G36-W41</x:v>
      </x:c>
      <x:c r="B32" s="12" t="str">
        <x:v>2026-10-06</x:v>
      </x:c>
      <x:c r="C32" s="13" t="n">
        <x:v>479011</x:v>
      </x:c>
      <x:c r="D32" s="14" t="n">
        <x:v>49.97</x:v>
      </x:c>
      <x:c r="E32" s="15"/>
      <x:c r="F32" s="15"/>
      <x:c r="G32" s="12" t="str">
        <x:v>建造年待核</x:v>
      </x:c>
      <x:c r="H32" s="12" t="str">
        <x:v>项目页列示，实际可售待确认</x:v>
      </x:c>
      <x:c r="I32" s="12" t="str">
        <x:v>https://www.neubaukompass.de/neubau/gern-36-berlin/148787.html</x:v>
      </x:c>
    </x:row>
    <x:row r="33">
      <x:c r="A33" s="12" t="str">
        <x:v>NBK-WP-61.5-389900</x:v>
      </x:c>
      <x:c r="B33" s="12" t="str">
        <x:v>2026-10-06</x:v>
      </x:c>
      <x:c r="C33" s="13" t="n">
        <x:v>389900</x:v>
      </x:c>
      <x:c r="D33" s="14" t="n">
        <x:v>61.5</x:v>
      </x:c>
      <x:c r="E33" s="15"/>
      <x:c r="F33" s="15" t="n">
        <x:v>2028</x:v>
      </x:c>
      <x:c r="G33" s="12" t="str">
        <x:v>期房-待交付</x:v>
      </x:c>
      <x:c r="H33" s="12" t="str">
        <x:v>项目页列示，实际可售待确认</x:v>
      </x:c>
      <x:c r="I33" s="12" t="str">
        <x:v>https://www.neubaukompass.de/neubau/waldpanorama-berlin/148531.html</x:v>
      </x:c>
    </x:row>
    <x:row r="34">
      <x:c r="A34" s="12" t="str">
        <x:v>NBK-WP-63-389900</x:v>
      </x:c>
      <x:c r="B34" s="12" t="str">
        <x:v>2026-10-06</x:v>
      </x:c>
      <x:c r="C34" s="13" t="n">
        <x:v>389900</x:v>
      </x:c>
      <x:c r="D34" s="14" t="n">
        <x:v>63</x:v>
      </x:c>
      <x:c r="E34" s="15"/>
      <x:c r="F34" s="15" t="n">
        <x:v>2028</x:v>
      </x:c>
      <x:c r="G34" s="12" t="str">
        <x:v>期房-待交付</x:v>
      </x:c>
      <x:c r="H34" s="12" t="str">
        <x:v>项目页列示，实际可售待确认</x:v>
      </x:c>
      <x:c r="I34" s="12" t="str">
        <x:v>https://www.neubaukompass.de/neubau/waldpanorama-berlin/148531.html</x:v>
      </x:c>
    </x:row>
    <x:row r="35">
      <x:c r="A35" s="12" t="str">
        <x:v>NBK-WP-69.3-419900</x:v>
      </x:c>
      <x:c r="B35" s="12" t="str">
        <x:v>2026-10-06</x:v>
      </x:c>
      <x:c r="C35" s="13" t="n">
        <x:v>419900</x:v>
      </x:c>
      <x:c r="D35" s="14" t="n">
        <x:v>69.3</x:v>
      </x:c>
      <x:c r="E35" s="15"/>
      <x:c r="F35" s="15" t="n">
        <x:v>2028</x:v>
      </x:c>
      <x:c r="G35" s="12" t="str">
        <x:v>期房-待交付</x:v>
      </x:c>
      <x:c r="H35" s="12" t="str">
        <x:v>项目页列示，实际可售待确认</x:v>
      </x:c>
      <x:c r="I35" s="12" t="str">
        <x:v>https://www.neubaukompass.de/neubau/waldpanorama-berlin/148531.html</x:v>
      </x:c>
    </x:row>
    <x:row r="36">
      <x:c r="A36" s="12" t="str">
        <x:v>NBK-WP-73.1-419900</x:v>
      </x:c>
      <x:c r="B36" s="12" t="str">
        <x:v>2026-10-06</x:v>
      </x:c>
      <x:c r="C36" s="13" t="n">
        <x:v>419900</x:v>
      </x:c>
      <x:c r="D36" s="14" t="n">
        <x:v>73.1</x:v>
      </x:c>
      <x:c r="E36" s="15"/>
      <x:c r="F36" s="15" t="n">
        <x:v>2028</x:v>
      </x:c>
      <x:c r="G36" s="12" t="str">
        <x:v>期房-待交付</x:v>
      </x:c>
      <x:c r="H36" s="12" t="str">
        <x:v>项目页列示，实际可售待确认</x:v>
      </x:c>
      <x:c r="I36" s="12" t="str">
        <x:v>https://www.neubaukompass.de/neubau/waldpanorama-berlin/148531.html</x:v>
      </x:c>
    </x:row>
    <x:row r="37">
      <x:c r="A37" s="12" t="str">
        <x:v>NBK-WP-74.8-439900</x:v>
      </x:c>
      <x:c r="B37" s="12" t="str">
        <x:v>2026-10-06</x:v>
      </x:c>
      <x:c r="C37" s="13" t="n">
        <x:v>439900</x:v>
      </x:c>
      <x:c r="D37" s="14" t="n">
        <x:v>74.8</x:v>
      </x:c>
      <x:c r="E37" s="15"/>
      <x:c r="F37" s="15" t="n">
        <x:v>2028</x:v>
      </x:c>
      <x:c r="G37" s="12" t="str">
        <x:v>期房-待交付</x:v>
      </x:c>
      <x:c r="H37" s="12" t="str">
        <x:v>项目页列示，实际可售待确认</x:v>
      </x:c>
      <x:c r="I37" s="12" t="str">
        <x:v>https://www.neubaukompass.de/neubau/waldpanorama-berlin/148531.html</x:v>
      </x:c>
    </x:row>
    <x:row r="38">
      <x:c r="A38" s="12" t="str">
        <x:v>NBK-WP-91.9-499900</x:v>
      </x:c>
      <x:c r="B38" s="12" t="str">
        <x:v>2026-10-06</x:v>
      </x:c>
      <x:c r="C38" s="13" t="n">
        <x:v>499900</x:v>
      </x:c>
      <x:c r="D38" s="14" t="n">
        <x:v>91.9</x:v>
      </x:c>
      <x:c r="E38" s="15"/>
      <x:c r="F38" s="15" t="n">
        <x:v>2028</x:v>
      </x:c>
      <x:c r="G38" s="12" t="str">
        <x:v>期房-待交付</x:v>
      </x:c>
      <x:c r="H38" s="12" t="str">
        <x:v>项目页列示，实际可售待确认</x:v>
      </x:c>
      <x:c r="I38" s="12" t="str">
        <x:v>https://www.neubaukompass.de/neubau/waldpanorama-berlin/148531.html</x:v>
      </x:c>
    </x:row>
    <x:row r="39">
      <x:c r="A39" s="12" t="str">
        <x:v>IS24-170196403</x:v>
      </x:c>
      <x:c r="B39" s="12" t="str">
        <x:v>2026-10-04</x:v>
      </x:c>
      <x:c r="C39" s="13" t="n">
        <x:v>499000</x:v>
      </x:c>
      <x:c r="D39" s="14" t="n">
        <x:v>72.4</x:v>
      </x:c>
      <x:c r="E39" s="15" t="n">
        <x:v>2019</x:v>
      </x:c>
      <x:c r="F39" s="15"/>
      <x:c r="G39" s="12" t="str">
        <x:v>已建-符合</x:v>
      </x:c>
      <x:c r="H39" s="12" t="str">
        <x:v>页面可见，实际可售待确认</x:v>
      </x:c>
      <x:c r="I39" s="12" t="str">
        <x:v>https://www.immobilienscout24.de/expose/170196403</x:v>
      </x:c>
    </x:row>
    <x:row r="40">
      <x:c r="A40" s="12" t="str">
        <x:v>IW-10a960de-7748-4607-afa5-0a2896f690c2</x:v>
      </x:c>
      <x:c r="B40" s="12" t="str">
        <x:v>2026-10-04</x:v>
      </x:c>
      <x:c r="C40" s="13" t="n">
        <x:v>450000</x:v>
      </x:c>
      <x:c r="D40" s="14" t="n">
        <x:v>71</x:v>
      </x:c>
      <x:c r="E40" s="15" t="n">
        <x:v>2018</x:v>
      </x:c>
      <x:c r="F40" s="15"/>
      <x:c r="G40" s="12" t="str">
        <x:v>已建-符合</x:v>
      </x:c>
      <x:c r="H40" s="12" t="str">
        <x:v>页面可见，实际可售待确认</x:v>
      </x:c>
      <x:c r="I40" s="12" t="str">
        <x:v>https://www.immowelt.de/expose/10a960de-7748-4607-afa5-0a2896f690c2</x:v>
      </x:c>
    </x:row>
    <x:row r="41">
      <x:c r="A41" s="12" t="str">
        <x:v>IW-34a4621b-d30e-4d4c-b010-cabce0859573</x:v>
      </x:c>
      <x:c r="B41" s="12" t="str">
        <x:v>2026-10-04</x:v>
      </x:c>
      <x:c r="C41" s="13" t="n">
        <x:v>430000</x:v>
      </x:c>
      <x:c r="D41" s="14" t="n">
        <x:v>80.01</x:v>
      </x:c>
      <x:c r="E41" s="15" t="n">
        <x:v>2019</x:v>
      </x:c>
      <x:c r="F41" s="15"/>
      <x:c r="G41" s="12" t="str">
        <x:v>已建-符合</x:v>
      </x:c>
      <x:c r="H41" s="12" t="str">
        <x:v>页面可见，实际可售待确认</x:v>
      </x:c>
      <x:c r="I41" s="12" t="str">
        <x:v>https://www.immowelt.de/expose/34a4621b-d30e-4d4c-b010-cabce0859573</x:v>
      </x:c>
    </x:row>
    <x:row r="42">
      <x:c r="A42" s="12" t="str">
        <x:v>IW-b5c964ae-0c80-45e3-9d98-19bfe01c9517</x:v>
      </x:c>
      <x:c r="B42" s="12" t="str">
        <x:v>2026-10-04</x:v>
      </x:c>
      <x:c r="C42" s="13" t="n">
        <x:v>420000</x:v>
      </x:c>
      <x:c r="D42" s="14" t="n">
        <x:v>58.11</x:v>
      </x:c>
      <x:c r="E42" s="15" t="n">
        <x:v>2015</x:v>
      </x:c>
      <x:c r="F42" s="15"/>
      <x:c r="G42" s="12" t="str">
        <x:v>已建-符合</x:v>
      </x:c>
      <x:c r="H42" s="12" t="str">
        <x:v>页面可见，实际可售待确认</x:v>
      </x:c>
      <x:c r="I42" s="12" t="str">
        <x:v>https://www.immowelt.de/expose/b5c964ae-0c80-45e3-9d98-19bfe01c9517</x:v>
      </x:c>
    </x:row>
    <x:row r="43">
      <x:c r="A43" s="12" t="str">
        <x:v>IS24-164750183</x:v>
      </x:c>
      <x:c r="B43" s="12" t="str">
        <x:v>2026-10-03</x:v>
      </x:c>
      <x:c r="C43" s="13" t="n">
        <x:v>441750</x:v>
      </x:c>
      <x:c r="D43" s="14" t="n">
        <x:v>59.38</x:v>
      </x:c>
      <x:c r="E43" s="15"/>
      <x:c r="F43" s="15"/>
      <x:c r="G43" s="12" t="str"/>
      <x:c r="H43" s="12" t="str">
        <x:v>页面可见，实际可售待确认</x:v>
      </x:c>
      <x:c r="I43" s="12" t="str">
        <x:v>https://www.immobilienscout24.de/expose/164750183</x:v>
      </x:c>
    </x:row>
    <x:row r="44">
      <x:c r="A44" s="12" t="str">
        <x:v>NBK-163591699</x:v>
      </x:c>
      <x:c r="B44" s="12" t="str">
        <x:v>2026-10-03</x:v>
      </x:c>
      <x:c r="C44" s="13" t="n">
        <x:v>399900</x:v>
      </x:c>
      <x:c r="D44" s="14" t="n">
        <x:v>63.41</x:v>
      </x:c>
      <x:c r="E44" s="15"/>
      <x:c r="F44" s="15"/>
      <x:c r="G44" s="12" t="str"/>
      <x:c r="H44" s="12" t="str">
        <x:v>页面可见，实际可售待确认</x:v>
      </x:c>
      <x:c r="I44" s="12" t="str">
        <x:v>https://www.neubaukompass.de/neubau/achterdeck-berlin-koepenick-berlin/143476/expose-163591699/</x:v>
      </x:c>
    </x:row>
    <x:row r="45">
      <x:c r="A45" s="12" t="str">
        <x:v>NBK-163606930</x:v>
      </x:c>
      <x:c r="B45" s="12" t="str">
        <x:v>2026-10-03</x:v>
      </x:c>
      <x:c r="C45" s="13" t="n">
        <x:v>359000</x:v>
      </x:c>
      <x:c r="D45" s="14" t="n">
        <x:v>55.85</x:v>
      </x:c>
      <x:c r="E45" s="15"/>
      <x:c r="F45" s="15"/>
      <x:c r="G45" s="12" t="str"/>
      <x:c r="H45" s="12" t="str">
        <x:v>页面可见，实际可售待确认</x:v>
      </x:c>
      <x:c r="I45" s="12" t="str">
        <x:v>https://www.neubaukompass.de/neubau/achterdeck-berlin-koepenick-berlin/143476/expose-163606930/</x:v>
      </x:c>
    </x:row>
    <x:row r="46">
      <x:c r="A46" s="12" t="str">
        <x:v>NBK-168982576</x:v>
      </x:c>
      <x:c r="B46" s="12" t="str">
        <x:v>2026-10-03</x:v>
      </x:c>
      <x:c r="C46" s="13" t="n">
        <x:v>302900</x:v>
      </x:c>
      <x:c r="D46" s="14" t="n">
        <x:v>51.33</x:v>
      </x:c>
      <x:c r="E46" s="15"/>
      <x:c r="F46" s="15"/>
      <x:c r="G46" s="12" t="str"/>
      <x:c r="H46" s="12" t="str">
        <x:v>页面可见，实际可售待确认</x:v>
      </x:c>
      <x:c r="I46" s="12" t="str">
        <x:v>https://www.neubaukompass.de/neubau/borsig-green-living-berlin/148769/expose-168982576/</x:v>
      </x:c>
    </x:row>
    <x:row r="47">
      <x:c r="A47" s="12" t="str">
        <x:v>NBK-BGL-168982546</x:v>
      </x:c>
      <x:c r="B47" s="12" t="str">
        <x:v>2026-10-03</x:v>
      </x:c>
      <x:c r="C47" s="13" t="n">
        <x:v>299900</x:v>
      </x:c>
      <x:c r="D47" s="14" t="n">
        <x:v>46.87</x:v>
      </x:c>
      <x:c r="E47" s="15"/>
      <x:c r="F47" s="15"/>
      <x:c r="G47" s="12" t="str"/>
      <x:c r="H47" s="12" t="str">
        <x:v>页面可见，实际可售待确认</x:v>
      </x:c>
      <x:c r="I47" s="12" t="str">
        <x:v>https://www.neubaukompass.de/neubau/borsig-green-living-berlin/148769/expose-168982546/</x:v>
      </x:c>
    </x:row>
    <x:row r="48">
      <x:c r="A48" s="12" t="str">
        <x:v>NBK-FL-48.43</x:v>
      </x:c>
      <x:c r="B48" s="12" t="str">
        <x:v>2026-10-03</x:v>
      </x:c>
      <x:c r="C48" s="13" t="n">
        <x:v>429000</x:v>
      </x:c>
      <x:c r="D48" s="14" t="n">
        <x:v>48.43</x:v>
      </x:c>
      <x:c r="E48" s="15"/>
      <x:c r="F48" s="15"/>
      <x:c r="G48" s="12" t="str"/>
      <x:c r="H48" s="12" t="str">
        <x:v>页面可见，实际可售待确认</x:v>
      </x:c>
      <x:c r="I48" s="12" t="str">
        <x:v>https://www.neubaukompass.de/neubau/unsere-flora-berlin/151083.html</x:v>
      </x:c>
    </x:row>
    <x:row r="49">
      <x:c r="A49" s="12" t="str">
        <x:v>NBK-FL-53.66-449</x:v>
      </x:c>
      <x:c r="B49" s="12" t="str">
        <x:v>2026-10-03</x:v>
      </x:c>
      <x:c r="C49" s="13" t="n">
        <x:v>449000</x:v>
      </x:c>
      <x:c r="D49" s="14" t="n">
        <x:v>53.66</x:v>
      </x:c>
      <x:c r="E49" s="15"/>
      <x:c r="F49" s="15"/>
      <x:c r="G49" s="12" t="str"/>
      <x:c r="H49" s="12" t="str">
        <x:v>页面可见，实际可售待确认</x:v>
      </x:c>
      <x:c r="I49" s="12" t="str">
        <x:v>https://www.neubaukompass.de/neubau/unsere-flora-berlin/151083.html</x:v>
      </x:c>
    </x:row>
    <x:row r="50">
      <x:c r="A50" s="12" t="str">
        <x:v>NBK-G36-W1</x:v>
      </x:c>
      <x:c r="B50" s="12" t="str">
        <x:v>2026-10-03</x:v>
      </x:c>
      <x:c r="C50" s="13" t="n">
        <x:v>350274</x:v>
      </x:c>
      <x:c r="D50" s="14" t="n">
        <x:v>44.46</x:v>
      </x:c>
      <x:c r="E50" s="15"/>
      <x:c r="F50" s="15"/>
      <x:c r="G50" s="12" t="str"/>
      <x:c r="H50" s="12" t="str">
        <x:v>页面可见，实际可售待确认</x:v>
      </x:c>
      <x:c r="I50" s="12" t="str">
        <x:v>https://www.neubaukompass.de/neubau/gern-36-berlin/148787.html</x:v>
      </x:c>
    </x:row>
    <x:row r="51">
      <x:c r="A51" s="12" t="str">
        <x:v>NBK-G36-W6</x:v>
      </x:c>
      <x:c r="B51" s="12" t="str">
        <x:v>2026-10-03</x:v>
      </x:c>
      <x:c r="C51" s="13" t="n">
        <x:v>399900</x:v>
      </x:c>
      <x:c r="D51" s="14" t="n">
        <x:v>50.14</x:v>
      </x:c>
      <x:c r="E51" s="15"/>
      <x:c r="F51" s="15"/>
      <x:c r="G51" s="12" t="str"/>
      <x:c r="H51" s="12" t="str">
        <x:v>页面可见，实际可售待确认</x:v>
      </x:c>
      <x:c r="I51" s="12" t="str">
        <x:v>https://www.neubaukompass.de/neubau/gern-36-berlin/148787.html</x:v>
      </x:c>
    </x:row>
    <x:row r="52">
      <x:c r="A52" s="12" t="str">
        <x:v>NBK-WP-45.2</x:v>
      </x:c>
      <x:c r="B52" s="12" t="str">
        <x:v>2026-10-03</x:v>
      </x:c>
      <x:c r="C52" s="13" t="n">
        <x:v>299900</x:v>
      </x:c>
      <x:c r="D52" s="14" t="n">
        <x:v>45.2</x:v>
      </x:c>
      <x:c r="E52" s="15"/>
      <x:c r="F52" s="15"/>
      <x:c r="G52" s="12" t="str"/>
      <x:c r="H52" s="12" t="str">
        <x:v>页面可见，实际可售待确认</x:v>
      </x:c>
      <x:c r="I52" s="12" t="str">
        <x:v>https://www.neubaukompass.de/neubau/waldpanorama-berlin/148531.html</x:v>
      </x:c>
    </x:row>
    <x:row r="53">
      <x:c r="A53" s="12" t="str">
        <x:v>NBK-WP-56.9</x:v>
      </x:c>
      <x:c r="B53" s="12" t="str">
        <x:v>2026-10-03</x:v>
      </x:c>
      <x:c r="C53" s="13" t="n">
        <x:v>339900</x:v>
      </x:c>
      <x:c r="D53" s="14" t="n">
        <x:v>56.9</x:v>
      </x:c>
      <x:c r="E53" s="15"/>
      <x:c r="F53" s="15"/>
      <x:c r="G53" s="12" t="str"/>
      <x:c r="H53" s="12" t="str">
        <x:v>页面可见，实际可售待确认</x:v>
      </x:c>
      <x:c r="I53" s="12" t="str">
        <x:v>https://www.neubaukompass.de/neubau/waldpanorama-berlin/148531.html</x:v>
      </x:c>
    </x:row>
    <x:row r="54">
      <x:c r="A54" s="12" t="str">
        <x:v>NBK-WP-63.9</x:v>
      </x:c>
      <x:c r="B54" s="12" t="str">
        <x:v>2026-10-03</x:v>
      </x:c>
      <x:c r="C54" s="13" t="n">
        <x:v>399900</x:v>
      </x:c>
      <x:c r="D54" s="14" t="n">
        <x:v>63.9</x:v>
      </x:c>
      <x:c r="E54" s="15"/>
      <x:c r="F54" s="15"/>
      <x:c r="G54" s="12" t="str"/>
      <x:c r="H54" s="12" t="str">
        <x:v>页面可见，实际可售待确认</x:v>
      </x:c>
      <x:c r="I54" s="12" t="str">
        <x:v>https://www.neubaukompass.de/neubau/waldpanorama-berlin/148531.html</x:v>
      </x:c>
    </x:row>
  </x:sheetData>
  <x:pageMargins left="0.7" right="0.7" top="0.75" bottom="0.75" header="0.3" footer="0.3"/>
</x:worksheet>
</file>